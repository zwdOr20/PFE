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LaP\Desktop\PFE\"/>
    </mc:Choice>
  </mc:AlternateContent>
  <xr:revisionPtr revIDLastSave="0" documentId="8_{13BE5B3B-DF6B-4998-B7BF-D508328CEEDD}" xr6:coauthVersionLast="45" xr6:coauthVersionMax="45" xr10:uidLastSave="{00000000-0000-0000-0000-000000000000}"/>
  <bookViews>
    <workbookView xWindow="7776" yWindow="2580" windowWidth="11148" windowHeight="9420" activeTab="1" xr2:uid="{00000000-000D-0000-FFFF-FFFF00000000}"/>
  </bookViews>
  <sheets>
    <sheet name="Gantt Chart w % Complete" sheetId="1" r:id="rId1"/>
    <sheet name="Basic Gantt Chart" sheetId="2" r:id="rId2"/>
    <sheet name="Manual Chart" sheetId="3" r:id="rId3"/>
  </sheets>
  <calcPr calcId="18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9" i="1" l="1"/>
  <c r="G9" i="1" s="1"/>
  <c r="G11" i="1"/>
  <c r="G16" i="1"/>
  <c r="H16" i="1" s="1"/>
  <c r="G21" i="1"/>
  <c r="H21" i="1" s="1"/>
  <c r="G26" i="1"/>
  <c r="H26" i="1" s="1"/>
  <c r="F15" i="1"/>
  <c r="F16" i="1"/>
  <c r="F17" i="1"/>
  <c r="F18" i="1"/>
  <c r="F20" i="1"/>
  <c r="F21" i="1"/>
  <c r="F22" i="1"/>
  <c r="F23" i="1"/>
  <c r="F24" i="1"/>
  <c r="F26" i="1"/>
  <c r="F27" i="1"/>
  <c r="F28" i="1"/>
  <c r="F29" i="1"/>
  <c r="G29" i="1" s="1"/>
  <c r="H29" i="1" s="1"/>
  <c r="F10" i="1"/>
  <c r="G10" i="1" s="1"/>
  <c r="F11" i="1"/>
  <c r="H11" i="1" s="1"/>
  <c r="F12" i="1"/>
  <c r="G12" i="1" s="1"/>
  <c r="H12" i="1" s="1"/>
  <c r="F13" i="1"/>
  <c r="G13" i="1" s="1"/>
  <c r="H13" i="1" s="1"/>
  <c r="H28" i="1" l="1"/>
  <c r="H27" i="1"/>
  <c r="H22" i="1"/>
  <c r="G27" i="1"/>
  <c r="G22" i="1"/>
  <c r="G17" i="1"/>
  <c r="H17" i="1" s="1"/>
  <c r="H10" i="1"/>
  <c r="G24" i="1"/>
  <c r="H24" i="1" s="1"/>
  <c r="G20" i="1"/>
  <c r="H20" i="1" s="1"/>
  <c r="G15" i="1"/>
  <c r="H15" i="1" s="1"/>
  <c r="G28" i="1"/>
  <c r="G23" i="1"/>
  <c r="H23" i="1" s="1"/>
  <c r="G18" i="1"/>
  <c r="H18" i="1" s="1"/>
  <c r="H9" i="1"/>
  <c r="E29" i="3"/>
  <c r="E30" i="3"/>
  <c r="E31" i="3"/>
  <c r="E28" i="3"/>
  <c r="E22" i="3"/>
  <c r="E23" i="3"/>
  <c r="E24" i="3"/>
  <c r="E25" i="3"/>
  <c r="E26" i="3"/>
  <c r="E21" i="3"/>
  <c r="E17" i="3"/>
  <c r="E18" i="3"/>
  <c r="E19" i="3"/>
  <c r="E16" i="3"/>
  <c r="E10" i="3"/>
  <c r="E11" i="3"/>
  <c r="E12" i="3"/>
  <c r="E13" i="3"/>
  <c r="E14" i="3"/>
  <c r="E9" i="3"/>
  <c r="D29" i="1" l="1"/>
  <c r="D28" i="1"/>
  <c r="D27" i="1"/>
  <c r="D26" i="1"/>
  <c r="D24" i="1"/>
  <c r="D23" i="1"/>
  <c r="D22" i="1"/>
  <c r="D21" i="1"/>
  <c r="D20" i="1"/>
  <c r="D18" i="1"/>
  <c r="D17" i="1"/>
  <c r="D16" i="1"/>
  <c r="D15" i="1"/>
  <c r="D13" i="1"/>
  <c r="D12" i="1"/>
  <c r="D11" i="1"/>
  <c r="D10" i="1"/>
  <c r="D9" i="1"/>
  <c r="B3" i="1"/>
</calcChain>
</file>

<file path=xl/sharedStrings.xml><?xml version="1.0" encoding="utf-8"?>
<sst xmlns="http://schemas.openxmlformats.org/spreadsheetml/2006/main" count="410" uniqueCount="185">
  <si>
    <t>GANTT CHART TEMPLATE</t>
  </si>
  <si>
    <t>TASK NAME</t>
  </si>
  <si>
    <t>START DATE</t>
  </si>
  <si>
    <t>END DATE</t>
  </si>
  <si>
    <t>DURATION (WORK DAYS)</t>
  </si>
  <si>
    <t>TEAM MEMBER</t>
  </si>
  <si>
    <t>PERCENT COMPLETE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</si>
  <si>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</si>
  <si>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</si>
  <si>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</si>
  <si>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</si>
  <si>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</si>
  <si>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</si>
  <si>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</si>
  <si>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</si>
  <si>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</si>
  <si>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</si>
  <si>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</si>
  <si>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</si>
  <si>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M</t>
  </si>
  <si>
    <t>T</t>
  </si>
  <si>
    <t>W</t>
  </si>
  <si>
    <t>Th</t>
  </si>
  <si>
    <t>F</t>
  </si>
  <si>
    <t>First Sample Project</t>
  </si>
  <si>
    <t>Write Landing Page Copy</t>
  </si>
  <si>
    <t>Nathan</t>
  </si>
  <si>
    <t>Meredith</t>
  </si>
  <si>
    <t>Review Landing Page Design</t>
  </si>
  <si>
    <t>Brandon</t>
  </si>
  <si>
    <t>Build Landing Page</t>
  </si>
  <si>
    <t>Michael</t>
  </si>
  <si>
    <t>Code Review Landing Page</t>
  </si>
  <si>
    <t>Rachel</t>
  </si>
  <si>
    <t>Promote Landing Page</t>
  </si>
  <si>
    <t>Annie</t>
  </si>
  <si>
    <t>Second Sample Project</t>
  </si>
  <si>
    <t>Write Promotional Email</t>
  </si>
  <si>
    <t>Design Promotional Email</t>
  </si>
  <si>
    <t>Send Promotional Email to Contacts</t>
  </si>
  <si>
    <t>Analyze Results of Email Campagin</t>
  </si>
  <si>
    <t>Third Sample Project</t>
  </si>
  <si>
    <t>Plan Agenda for Team Meeting</t>
  </si>
  <si>
    <t>Reserve Room and Resources for Meeting</t>
  </si>
  <si>
    <t>Finalize Team Presentation</t>
  </si>
  <si>
    <t>Review &amp; Approve Presentation</t>
  </si>
  <si>
    <t>Create Invitations for Meeting</t>
  </si>
  <si>
    <t>Setup Room for Meeting</t>
  </si>
  <si>
    <t>Fourth Sample Project</t>
  </si>
  <si>
    <t>* = an automatically calculated cell</t>
  </si>
  <si>
    <t>Rewrite Code for Online Calculator</t>
  </si>
  <si>
    <t>DURATION* (WORK DAYS)</t>
  </si>
  <si>
    <t>Code Review Updated Calculator</t>
  </si>
  <si>
    <t>DAY OF MONTH*</t>
  </si>
  <si>
    <t>DAYS COMPLETE*</t>
  </si>
  <si>
    <t>DAYS REMAINING*</t>
  </si>
  <si>
    <t>Update Messaging for Calculator</t>
  </si>
  <si>
    <t>Publish New Calculator to Site</t>
  </si>
  <si>
    <t>Approve Page Copy</t>
  </si>
  <si>
    <t>Send Promotional Email</t>
  </si>
  <si>
    <t>Analyze Campaign Results</t>
  </si>
  <si>
    <t>Plan Agenda for Meeting</t>
  </si>
  <si>
    <t>Reserve Room</t>
  </si>
  <si>
    <t>Finalize Presentation</t>
  </si>
  <si>
    <t>Approve Presentation</t>
  </si>
  <si>
    <t>Create Invitations</t>
  </si>
  <si>
    <t>Rewrite Online Calculator</t>
  </si>
  <si>
    <t>Code Review Calculator</t>
  </si>
  <si>
    <t>Update Messaging</t>
  </si>
  <si>
    <t>Publish Calculator</t>
  </si>
  <si>
    <t xml:space="preserve"> </t>
  </si>
  <si>
    <t xml:space="preserve">   Identification des besoins</t>
  </si>
  <si>
    <t xml:space="preserve">   Spécifications  fonctionnelles</t>
  </si>
  <si>
    <t xml:space="preserve">   Les tests d'intégration</t>
  </si>
  <si>
    <t xml:space="preserve">   les tests unitaires  </t>
  </si>
  <si>
    <t xml:space="preserve">   les tests d'integration </t>
  </si>
  <si>
    <t xml:space="preserve">START DATE </t>
  </si>
  <si>
    <t xml:space="preserve">END DATE </t>
  </si>
  <si>
    <t>WORK DAYS</t>
  </si>
  <si>
    <t xml:space="preserve">   Les tests unitaires</t>
  </si>
  <si>
    <t xml:space="preserve">   Intégrer IConfigurationHlder à la solution existante</t>
  </si>
  <si>
    <t xml:space="preserve">   Documentation sur l'objet de configuration Json</t>
  </si>
  <si>
    <t xml:space="preserve">   Extraire une unité de configuration à partir d'un fichier Json  </t>
  </si>
  <si>
    <t>10jours</t>
  </si>
  <si>
    <t xml:space="preserve">   Spécifications Techniques</t>
  </si>
  <si>
    <t xml:space="preserve">   Conception des interfaces : Configuration, ClientRequest, et Worker</t>
  </si>
  <si>
    <t xml:space="preserve">   Implémentation des interfaces</t>
  </si>
  <si>
    <t xml:space="preserve">   Analyse des événements de la queue (enqueue, dequeue,...)</t>
  </si>
  <si>
    <t xml:space="preserve">   Conception de l'objet simulateur (StartSimulation,EndSimulation)</t>
  </si>
  <si>
    <r>
      <t xml:space="preserve">   </t>
    </r>
    <r>
      <rPr>
        <sz val="18"/>
        <color rgb="FF000000"/>
        <rFont val="Calibri Light"/>
        <family val="2"/>
        <scheme val="major"/>
      </rPr>
      <t>Analyse des fonctionnalités de base de service de scaling (ScaleUp,ScaleDown, GetNextScalingDate ...)</t>
    </r>
  </si>
  <si>
    <t xml:space="preserve">   Gérer les dépendances du temps entre les différentes interfaces (Injecter la dépendance du temps)</t>
  </si>
  <si>
    <t xml:space="preserve">  Les tests unitaires</t>
  </si>
  <si>
    <t xml:space="preserve">  Conception de l'interface MetricCloud (getIdleTime,GetCost...)</t>
  </si>
  <si>
    <t xml:space="preserve">   Conception de l'objet Orchestrator (GetNextEvent...)</t>
  </si>
  <si>
    <t xml:space="preserve">  Générer le fichier de résultas des workers : workers_result.csv</t>
  </si>
  <si>
    <t xml:space="preserve">  Générer un fichier de résultas des requestes : requests_Result.csv</t>
  </si>
  <si>
    <t xml:space="preserve">  Implémentation de l'interface MetricCloud</t>
  </si>
  <si>
    <t xml:space="preserve">  Génération de fichier pour les metrics Cloud : metrics.csv</t>
  </si>
  <si>
    <t xml:space="preserve">  Les tests d'intégration</t>
  </si>
  <si>
    <t xml:space="preserve">  Benchmarking Métriques cloud les plus expressives</t>
  </si>
  <si>
    <t>5jours</t>
  </si>
  <si>
    <t>15/5/2020</t>
  </si>
  <si>
    <t>18/5/2020</t>
  </si>
  <si>
    <t>22/5/2020</t>
  </si>
  <si>
    <t>25/5/2020</t>
  </si>
  <si>
    <t>29/5/2020</t>
  </si>
  <si>
    <t>Tests de validation</t>
  </si>
  <si>
    <t>15/6/2020</t>
  </si>
  <si>
    <t>19/6/2020</t>
  </si>
  <si>
    <t>Documentation</t>
  </si>
  <si>
    <t xml:space="preserve">   Manuel d'utilisation</t>
  </si>
  <si>
    <t xml:space="preserve">  Manuel de référence</t>
  </si>
  <si>
    <t>22/6/2020</t>
  </si>
  <si>
    <t>26/6/2020</t>
  </si>
  <si>
    <t xml:space="preserve">  Test de validation</t>
  </si>
  <si>
    <t xml:space="preserve">  Retour d'expérience</t>
  </si>
  <si>
    <t xml:space="preserve">   Documentation sur le fonctionnement d'un worker cloud</t>
  </si>
  <si>
    <t xml:space="preserve">   Extraction des requêtes clients à partir d'un fichier csv</t>
  </si>
  <si>
    <t>10 jours</t>
  </si>
  <si>
    <t>21/2/2020</t>
  </si>
  <si>
    <t>4jours</t>
  </si>
  <si>
    <t xml:space="preserve">   Analyse des fonctionnalités  de CloudWorkers (addWorker, shutDownWorker, AffectRequest…)</t>
  </si>
  <si>
    <t xml:space="preserve">   Conception de l'interface SimulaterQueue &amp; SimulaterWorkers</t>
  </si>
  <si>
    <t xml:space="preserve">   Implémenter l'interface SimulaterCloud &amp; SimulaterWorkers</t>
  </si>
  <si>
    <t xml:space="preserve">  Conception de l'interface SilulationResultPrinter</t>
  </si>
  <si>
    <t xml:space="preserve">  Implémenatation de SimulationResultPrinter</t>
  </si>
  <si>
    <t xml:space="preserve">  Afficher les de la simulation</t>
  </si>
  <si>
    <t xml:space="preserve">   Conception de l'objet ScalerSimulater</t>
  </si>
  <si>
    <t xml:space="preserve">   Implémenter l'interface ScalerSimulater</t>
  </si>
  <si>
    <t xml:space="preserve">   Implémenter l'objet DateTimeSimulater</t>
  </si>
  <si>
    <t xml:space="preserve">   Extension de l'objet configuration pour  couvrir les jours de la semaine</t>
  </si>
  <si>
    <t xml:space="preserve">   Implémenter  l'interface</t>
  </si>
  <si>
    <t xml:space="preserve">   Conception de l'interface IConfigurationHolder qui représente une configuration hebdomadaire</t>
  </si>
  <si>
    <t>Itération 7 : Implémenter les Métriques</t>
  </si>
  <si>
    <t>Itération 6 :Implémentation du Simulation ResultPrinter</t>
  </si>
  <si>
    <t xml:space="preserve">  Documentation sur la tarification de Azure</t>
  </si>
  <si>
    <t xml:space="preserve">  Générer un fichier de résultas des requestes : rmetrics_Result.csv</t>
  </si>
  <si>
    <t>25/6/2020</t>
  </si>
  <si>
    <t xml:space="preserve">  Conception de l'interface SimulationResultPrinter</t>
  </si>
  <si>
    <t xml:space="preserve">  Afficher les résultats de la simulation</t>
  </si>
  <si>
    <t xml:space="preserve">  Implémentation de SimulationResultPrinter</t>
  </si>
  <si>
    <t xml:space="preserve">  Générer un fichier de résultats des requestes : rmetrics_Result.csv</t>
  </si>
  <si>
    <t xml:space="preserve">  Générer un fichier de résultats des requestes : requests_Result.csv</t>
  </si>
  <si>
    <t xml:space="preserve">  Générer le fichier de résultats des workers : workers_result.csv</t>
  </si>
  <si>
    <t>Avant le 20 mars (date de confinement)</t>
  </si>
  <si>
    <t>Démarrage du projet</t>
  </si>
  <si>
    <t>Construction du projet</t>
  </si>
  <si>
    <t xml:space="preserve">   Elaboration du cahier de charge</t>
  </si>
  <si>
    <t xml:space="preserve">   Documentation sur le fonctionnement  de service watcher</t>
  </si>
  <si>
    <t xml:space="preserve">   Etude de l'existant  (limitations &amp; solution proposée)</t>
  </si>
  <si>
    <t xml:space="preserve">   Identification des besions fonctionnels et techniques</t>
  </si>
  <si>
    <t>19/06/2020</t>
  </si>
  <si>
    <t>60 jours</t>
  </si>
  <si>
    <t xml:space="preserve">       Etude préliminiare</t>
  </si>
  <si>
    <t xml:space="preserve">       Spécifications générales</t>
  </si>
  <si>
    <t xml:space="preserve">       Plannigng de dévéloppement des iterations </t>
  </si>
  <si>
    <t xml:space="preserve">   Benchmarking Métriques cloud </t>
  </si>
  <si>
    <t xml:space="preserve">  </t>
  </si>
  <si>
    <t xml:space="preserve">   Documentation sur la tarification d'Azure workers</t>
  </si>
  <si>
    <t xml:space="preserve">   Docuementation sur l'architecture Microservice</t>
  </si>
  <si>
    <t xml:space="preserve">           Itération 5 : Extendre l'objet de configuration : IConfigurationHolderHolder</t>
  </si>
  <si>
    <t xml:space="preserve">           Itération 6 : Implémenter les Métriques</t>
  </si>
  <si>
    <t xml:space="preserve">           Itération 7 :Implémentation du Simulation ResultPrinter</t>
  </si>
  <si>
    <t xml:space="preserve">           Itération 3 : Implémenter le ScalerSimulater</t>
  </si>
  <si>
    <t xml:space="preserve">           Itération 2 : Implémentation du simulaterQueue &amp; simulaterWorkers</t>
  </si>
  <si>
    <t xml:space="preserve">           Itération 1 : Récupération des données &amp; implémentation des objets de base</t>
  </si>
  <si>
    <t xml:space="preserve">   Formation C#, Solid, UnitTesting, Git …</t>
  </si>
  <si>
    <t>5 jours</t>
  </si>
  <si>
    <t>24/2/2020</t>
  </si>
  <si>
    <t>27/2/2020</t>
  </si>
  <si>
    <t>28/02/2020</t>
  </si>
  <si>
    <t>28/2/2020</t>
  </si>
  <si>
    <t>13/3/2020</t>
  </si>
  <si>
    <t>19/3/2020</t>
  </si>
  <si>
    <t xml:space="preserve">   Documentation sur le  fonctionnement  de service scaling</t>
  </si>
  <si>
    <t>30/06/2020</t>
  </si>
  <si>
    <t>74 jours</t>
  </si>
  <si>
    <t xml:space="preserve">           Itération 4 : Implémenter Simulator &amp; Orchestrator &amp;  les tests d'intégration</t>
  </si>
  <si>
    <t xml:space="preserve">                                                                                                                                                                         GANTT Diagram</t>
  </si>
  <si>
    <t xml:space="preserve">  Rapport de stage détaillé</t>
  </si>
  <si>
    <t xml:space="preserve">  Manuel d'utilisation</t>
  </si>
  <si>
    <t>13 jours</t>
  </si>
  <si>
    <t xml:space="preserve">         Documentation</t>
  </si>
  <si>
    <t>Reprise de stage (4/5/2020)</t>
  </si>
  <si>
    <t xml:space="preserve"> Cloture du projet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</si>
</sst>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#,##0.00"/>
    <numFmt numFmtId="165" formatCode="m&quot;/&quot;d"/>
  </numFmts>
  <fonts count="64">
    <font>
      <sz val="10"/>
      <color rgb="FF000000"/>
      <name val="Arial"/>
    </font>
    <font>
      <sz val="11"/>
      <color theme="1"/>
      <name val="Calibri"/>
      <family val="2"/>
      <scheme val="minor"/>
    </font>
    <font>
      <sz val="10"/>
      <name val="Arial"/>
    </font>
    <font>
      <sz val="26"/>
      <color rgb="FF576C88"/>
      <name val="Calibri"/>
    </font>
    <font>
      <sz val="10"/>
      <name val="Arial"/>
    </font>
    <font>
      <b/>
      <sz val="12"/>
      <color rgb="FF0B5394"/>
      <name val="Roboto"/>
    </font>
    <font>
      <sz val="12"/>
      <color rgb="FF0B5394"/>
      <name val="Roboto"/>
    </font>
    <font>
      <b/>
      <sz val="10"/>
      <color rgb="FFFFFFFF"/>
      <name val="Calibri"/>
    </font>
    <font>
      <b/>
      <sz val="11"/>
      <color rgb="FF666666"/>
      <name val="Calibri"/>
    </font>
    <font>
      <b/>
      <sz val="12"/>
      <color rgb="FF000000"/>
      <name val="Calibri"/>
    </font>
    <font>
      <sz val="10"/>
      <name val="Calibri"/>
    </font>
    <font>
      <sz val="11"/>
      <color rgb="FF434343"/>
      <name val="Calibri"/>
    </font>
    <font>
      <b/>
      <u/>
      <sz val="14"/>
      <color rgb="FF57BB8A"/>
      <name val="Calibri"/>
    </font>
    <font>
      <sz val="10"/>
      <color rgb="FF576C88"/>
      <name val="Calibri"/>
    </font>
    <font>
      <sz val="14"/>
      <color rgb="FF576C88"/>
      <name val="Calibri"/>
    </font>
    <font>
      <sz val="11"/>
      <color rgb="FF000000"/>
      <name val="Calibri"/>
    </font>
    <font>
      <b/>
      <sz val="16"/>
      <color rgb="FF666666"/>
      <name val="Calibri"/>
      <family val="2"/>
    </font>
    <font>
      <sz val="16"/>
      <color rgb="FF000000"/>
      <name val="Arial"/>
      <family val="2"/>
    </font>
    <font>
      <sz val="16"/>
      <name val="Arial"/>
      <family val="2"/>
    </font>
    <font>
      <b/>
      <sz val="10"/>
      <color rgb="FF000000"/>
      <name val="Arial"/>
      <family val="2"/>
    </font>
    <font>
      <sz val="11"/>
      <color rgb="FFFF0000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000000"/>
      <name val="Arial"/>
      <family val="2"/>
    </font>
    <font>
      <sz val="18"/>
      <name val="Calibri Light"/>
      <family val="2"/>
      <scheme val="major"/>
    </font>
    <font>
      <sz val="18"/>
      <name val="Arial"/>
      <family val="2"/>
    </font>
    <font>
      <b/>
      <sz val="18"/>
      <color rgb="FFFFFFFF"/>
      <name val="Calibri"/>
      <family val="2"/>
    </font>
    <font>
      <b/>
      <sz val="18"/>
      <name val="Calibri Light"/>
      <family val="2"/>
      <scheme val="major"/>
    </font>
    <font>
      <sz val="18"/>
      <name val="Calibri"/>
      <family val="2"/>
    </font>
    <font>
      <sz val="18"/>
      <color rgb="FF434343"/>
      <name val="Calibri"/>
      <family val="2"/>
    </font>
    <font>
      <b/>
      <sz val="18"/>
      <color rgb="FF000000"/>
      <name val="Arial"/>
      <family val="2"/>
    </font>
    <font>
      <b/>
      <sz val="18"/>
      <color theme="1"/>
      <name val="Calibri Light"/>
      <family val="2"/>
      <scheme val="major"/>
    </font>
    <font>
      <sz val="18"/>
      <color rgb="FF000000"/>
      <name val="Calibri Light"/>
      <family val="2"/>
      <scheme val="major"/>
    </font>
    <font>
      <sz val="11"/>
      <color rgb="FF006100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8"/>
      <color rgb="FFFF0000"/>
      <name val="Arial"/>
      <family val="2"/>
    </font>
    <font>
      <sz val="18"/>
      <color rgb="FF006100"/>
      <name val="Calibri"/>
      <family val="2"/>
      <scheme val="minor"/>
    </font>
    <font>
      <b/>
      <sz val="18"/>
      <color rgb="FF006100"/>
      <name val="Calibri"/>
      <family val="2"/>
      <scheme val="minor"/>
    </font>
    <font>
      <sz val="18"/>
      <color rgb="FF9C5700"/>
      <name val="Calibri"/>
      <family val="2"/>
      <scheme val="minor"/>
    </font>
    <font>
      <sz val="20"/>
      <color rgb="FF000000"/>
      <name val="Arial"/>
      <family val="2"/>
    </font>
    <font>
      <sz val="20"/>
      <color theme="1"/>
      <name val="Calibri"/>
      <family val="2"/>
      <scheme val="minor"/>
    </font>
    <font>
      <sz val="20"/>
      <color theme="1"/>
      <name val="Calibri Light"/>
      <family val="2"/>
      <scheme val="major"/>
    </font>
    <font>
      <sz val="18"/>
      <color rgb="FF006100"/>
      <name val="Calibri Light"/>
      <family val="2"/>
      <scheme val="major"/>
    </font>
    <font>
      <sz val="18"/>
      <color rgb="FFFF0000"/>
      <name val="Calibri"/>
      <family val="2"/>
      <scheme val="minor"/>
    </font>
    <font>
      <sz val="18"/>
      <color rgb="FF576C88"/>
      <name val="Calibri"/>
      <family val="2"/>
    </font>
    <font>
      <b/>
      <sz val="18"/>
      <color rgb="FF9C5700"/>
      <name val="Calibri"/>
      <family val="2"/>
      <scheme val="minor"/>
    </font>
    <font>
      <b/>
      <sz val="18"/>
      <color rgb="FFFF0000"/>
      <name val="Calibri"/>
      <family val="2"/>
      <scheme val="minor"/>
    </font>
    <font>
      <sz val="22"/>
      <color rgb="FF000000"/>
      <name val="Arial"/>
      <family val="2"/>
    </font>
    <font>
      <sz val="22"/>
      <name val="Arial"/>
      <family val="2"/>
    </font>
    <font>
      <b/>
      <sz val="22"/>
      <color rgb="FFFF0000"/>
      <name val="Arial"/>
      <family val="2"/>
    </font>
    <font>
      <b/>
      <sz val="22"/>
      <color rgb="FFFFFFFF"/>
      <name val="Calibri"/>
      <family val="2"/>
    </font>
    <font>
      <b/>
      <sz val="22"/>
      <color rgb="FF006100"/>
      <name val="Calibri"/>
      <family val="2"/>
      <scheme val="minor"/>
    </font>
    <font>
      <sz val="22"/>
      <color rgb="FF006100"/>
      <name val="Calibri"/>
      <family val="2"/>
      <scheme val="minor"/>
    </font>
    <font>
      <sz val="22"/>
      <color rgb="FF006100"/>
      <name val="Calibri Light"/>
      <family val="2"/>
      <scheme val="major"/>
    </font>
    <font>
      <b/>
      <sz val="22"/>
      <color rgb="FF9C5700"/>
      <name val="Calibri"/>
      <family val="2"/>
      <scheme val="minor"/>
    </font>
    <font>
      <sz val="22"/>
      <color rgb="FF9C5700"/>
      <name val="Calibri"/>
      <family val="2"/>
      <scheme val="minor"/>
    </font>
    <font>
      <b/>
      <sz val="22"/>
      <name val="Calibri Light"/>
      <family val="2"/>
      <scheme val="major"/>
    </font>
    <font>
      <sz val="22"/>
      <name val="Calibri"/>
      <family val="2"/>
    </font>
    <font>
      <sz val="22"/>
      <color theme="1"/>
      <name val="Calibri"/>
      <family val="2"/>
      <scheme val="minor"/>
    </font>
    <font>
      <sz val="22"/>
      <name val="Calibri Light"/>
      <family val="2"/>
      <scheme val="major"/>
    </font>
    <font>
      <b/>
      <sz val="22"/>
      <color rgb="FFFF0000"/>
      <name val="Calibri"/>
      <family val="2"/>
      <scheme val="minor"/>
    </font>
    <font>
      <sz val="22"/>
      <color rgb="FFFF0000"/>
      <name val="Calibri"/>
      <family val="2"/>
      <scheme val="minor"/>
    </font>
    <font>
      <b/>
      <sz val="22"/>
      <color rgb="FF000000"/>
      <name val="Arial"/>
      <family val="2"/>
    </font>
    <font>
      <b/>
      <sz val="22"/>
      <color theme="1"/>
      <name val="Calibri Light"/>
      <family val="2"/>
      <scheme val="major"/>
    </font>
    <font>
      <sz val="22"/>
      <color rgb="FF000000"/>
      <name val="Calibri Light"/>
      <family val="2"/>
      <scheme val="major"/>
    </font>
  </fonts>
  <fills count="19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00ADEE"/>
        <bgColor rgb="FF00ADEE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CCCCCC"/>
        <bgColor rgb="FFCCCCCC"/>
      </patternFill>
    </fill>
    <fill>
      <patternFill patternType="solid">
        <fgColor rgb="FF7FD1CD"/>
        <bgColor rgb="FF7FD1CD"/>
      </patternFill>
    </fill>
    <fill>
      <patternFill patternType="solid">
        <fgColor rgb="FF57BB8A"/>
        <bgColor rgb="FF57BB8A"/>
      </patternFill>
    </fill>
    <fill>
      <patternFill patternType="solid">
        <fgColor rgb="FFF3F3F3"/>
        <bgColor rgb="FFF3F3F3"/>
      </patternFill>
    </fill>
    <fill>
      <patternFill patternType="solid">
        <fgColor rgb="FF5CBCD6"/>
        <bgColor rgb="FF5CBCD6"/>
      </patternFill>
    </fill>
    <fill>
      <patternFill patternType="solid">
        <fgColor rgb="FFBCE4D1"/>
        <bgColor rgb="FFBCE4D1"/>
      </patternFill>
    </fill>
    <fill>
      <patternFill patternType="solid">
        <fgColor rgb="FF8AD0AE"/>
        <bgColor rgb="FF8AD0AE"/>
      </patternFill>
    </fill>
    <fill>
      <patternFill patternType="solid">
        <fgColor rgb="FF9BD7B9"/>
        <bgColor rgb="FF9BD7B9"/>
      </patternFill>
    </fill>
    <fill>
      <patternFill patternType="solid">
        <fgColor rgb="FFDBF1E6"/>
        <bgColor rgb="FFDBF1E6"/>
      </patternFill>
    </fill>
    <fill>
      <patternFill patternType="solid">
        <fgColor rgb="FFE5F5ED"/>
        <bgColor rgb="FFE5F5ED"/>
      </patternFill>
    </fill>
    <fill>
      <patternFill patternType="solid">
        <fgColor theme="6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FEB9C"/>
      </patternFill>
    </fill>
  </fills>
  <borders count="13"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B7B7B7"/>
      </right>
      <top/>
      <bottom/>
      <diagonal/>
    </border>
    <border>
      <left/>
      <right/>
      <top/>
      <bottom style="thin">
        <color rgb="FFB7B7B7"/>
      </bottom>
      <diagonal/>
    </border>
    <border>
      <left/>
      <right/>
      <top/>
      <bottom style="thin">
        <color rgb="FFCCCCCC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 style="thin">
        <color rgb="FFB7B7B7"/>
      </left>
      <right style="hair">
        <color rgb="FFB7B7B7"/>
      </right>
      <top/>
      <bottom style="hair">
        <color rgb="FFB7B7B7"/>
      </bottom>
      <diagonal/>
    </border>
    <border>
      <left/>
      <right style="hair">
        <color rgb="FFB7B7B7"/>
      </right>
      <top/>
      <bottom style="hair">
        <color rgb="FFB7B7B7"/>
      </bottom>
      <diagonal/>
    </border>
    <border>
      <left/>
      <right style="thin">
        <color rgb="FFB7B7B7"/>
      </right>
      <top/>
      <bottom style="hair">
        <color rgb="FFB7B7B7"/>
      </bottom>
      <diagonal/>
    </border>
    <border>
      <left/>
      <right/>
      <top/>
      <bottom style="hair">
        <color rgb="FFB7B7B7"/>
      </bottom>
      <diagonal/>
    </border>
    <border>
      <left/>
      <right/>
      <top/>
      <bottom style="thin">
        <color auto="1"/>
      </bottom>
      <diagonal/>
    </border>
  </borders>
  <cellStyleXfs count="5">
    <xf numFmtId="0" fontId="0" fillId="0" borderId="0"/>
    <xf numFmtId="0" fontId="1" fillId="16" borderId="0" applyNumberFormat="0" applyBorder="0" applyAlignment="0" applyProtection="0"/>
    <xf numFmtId="0" fontId="20" fillId="0" borderId="0" applyNumberFormat="0" applyFill="0" applyBorder="0" applyAlignment="0" applyProtection="0"/>
    <xf numFmtId="0" fontId="32" fillId="17" borderId="0" applyNumberFormat="0" applyBorder="0" applyAlignment="0" applyProtection="0"/>
    <xf numFmtId="0" fontId="33" fillId="18" borderId="0" applyNumberFormat="0" applyBorder="0" applyAlignment="0" applyProtection="0"/>
  </cellStyleXfs>
  <cellXfs count="247">
    <xf numFmtId="0" fontId="0" fillId="0" borderId="0" xfId="0" applyFont="1" applyAlignment="1"/>
    <xf numFmtId="0" fontId="2" fillId="2" borderId="0" xfId="0" applyFont="1" applyFill="1"/>
    <xf numFmtId="0" fontId="2" fillId="0" borderId="0" xfId="0" applyFont="1"/>
    <xf numFmtId="0" fontId="2" fillId="2" borderId="1" xfId="0" applyFont="1" applyFill="1" applyBorder="1"/>
    <xf numFmtId="0" fontId="4" fillId="0" borderId="3" xfId="0" applyFont="1" applyBorder="1"/>
    <xf numFmtId="0" fontId="2" fillId="2" borderId="3" xfId="0" applyFont="1" applyFill="1" applyBorder="1"/>
    <xf numFmtId="0" fontId="5" fillId="2" borderId="3" xfId="0" applyFont="1" applyFill="1" applyBorder="1"/>
    <xf numFmtId="0" fontId="6" fillId="2" borderId="3" xfId="0" applyFont="1" applyFill="1" applyBorder="1" applyAlignment="1">
      <alignment wrapText="1"/>
    </xf>
    <xf numFmtId="0" fontId="2" fillId="0" borderId="3" xfId="0" applyFont="1" applyBorder="1"/>
    <xf numFmtId="14" fontId="2" fillId="0" borderId="1" xfId="0" applyNumberFormat="1" applyFont="1" applyBorder="1"/>
    <xf numFmtId="0" fontId="8" fillId="4" borderId="4" xfId="0" applyFont="1" applyFill="1" applyBorder="1" applyAlignment="1">
      <alignment horizontal="center"/>
    </xf>
    <xf numFmtId="0" fontId="8" fillId="4" borderId="4" xfId="0" applyFont="1" applyFill="1" applyBorder="1" applyAlignment="1">
      <alignment horizontal="center"/>
    </xf>
    <xf numFmtId="0" fontId="8" fillId="5" borderId="4" xfId="0" applyFont="1" applyFill="1" applyBorder="1" applyAlignment="1">
      <alignment horizontal="center"/>
    </xf>
    <xf numFmtId="0" fontId="8" fillId="5" borderId="4" xfId="0" applyFont="1" applyFill="1" applyBorder="1" applyAlignment="1">
      <alignment horizontal="center"/>
    </xf>
    <xf numFmtId="0" fontId="9" fillId="6" borderId="6" xfId="0" applyFont="1" applyFill="1" applyBorder="1" applyAlignment="1"/>
    <xf numFmtId="0" fontId="10" fillId="6" borderId="6" xfId="0" applyFont="1" applyFill="1" applyBorder="1"/>
    <xf numFmtId="0" fontId="10" fillId="6" borderId="0" xfId="0" applyFont="1" applyFill="1"/>
    <xf numFmtId="164" fontId="10" fillId="6" borderId="0" xfId="0" applyNumberFormat="1" applyFont="1" applyFill="1"/>
    <xf numFmtId="3" fontId="10" fillId="6" borderId="0" xfId="0" applyNumberFormat="1" applyFont="1" applyFill="1"/>
    <xf numFmtId="0" fontId="11" fillId="0" borderId="5" xfId="0" applyFont="1" applyBorder="1" applyAlignment="1">
      <alignment wrapText="1"/>
    </xf>
    <xf numFmtId="165" fontId="11" fillId="0" borderId="5" xfId="0" applyNumberFormat="1" applyFont="1" applyBorder="1" applyAlignment="1">
      <alignment horizontal="center" wrapText="1"/>
    </xf>
    <xf numFmtId="0" fontId="11" fillId="0" borderId="5" xfId="0" applyFont="1" applyBorder="1" applyAlignment="1">
      <alignment horizontal="center" wrapText="1"/>
    </xf>
    <xf numFmtId="9" fontId="11" fillId="7" borderId="7" xfId="0" applyNumberFormat="1" applyFont="1" applyFill="1" applyBorder="1" applyAlignment="1">
      <alignment horizontal="center" wrapText="1"/>
    </xf>
    <xf numFmtId="9" fontId="2" fillId="0" borderId="8" xfId="0" applyNumberFormat="1" applyFont="1" applyBorder="1" applyAlignment="1"/>
    <xf numFmtId="164" fontId="2" fillId="0" borderId="9" xfId="0" applyNumberFormat="1" applyFont="1" applyBorder="1" applyAlignment="1"/>
    <xf numFmtId="0" fontId="2" fillId="0" borderId="9" xfId="0" applyFont="1" applyBorder="1" applyAlignment="1"/>
    <xf numFmtId="0" fontId="2" fillId="4" borderId="9" xfId="0" applyFont="1" applyFill="1" applyBorder="1" applyAlignment="1"/>
    <xf numFmtId="0" fontId="2" fillId="2" borderId="9" xfId="0" applyFont="1" applyFill="1" applyBorder="1" applyAlignment="1"/>
    <xf numFmtId="0" fontId="2" fillId="4" borderId="10" xfId="0" applyFont="1" applyFill="1" applyBorder="1" applyAlignment="1"/>
    <xf numFmtId="9" fontId="11" fillId="8" borderId="7" xfId="0" applyNumberFormat="1" applyFont="1" applyFill="1" applyBorder="1" applyAlignment="1">
      <alignment horizontal="center" wrapText="1"/>
    </xf>
    <xf numFmtId="0" fontId="2" fillId="9" borderId="9" xfId="0" applyFont="1" applyFill="1" applyBorder="1" applyAlignment="1"/>
    <xf numFmtId="0" fontId="2" fillId="10" borderId="9" xfId="0" applyFont="1" applyFill="1" applyBorder="1" applyAlignment="1"/>
    <xf numFmtId="9" fontId="11" fillId="11" borderId="7" xfId="0" applyNumberFormat="1" applyFont="1" applyFill="1" applyBorder="1" applyAlignment="1">
      <alignment horizontal="center" wrapText="1"/>
    </xf>
    <xf numFmtId="9" fontId="11" fillId="12" borderId="7" xfId="0" applyNumberFormat="1" applyFont="1" applyFill="1" applyBorder="1" applyAlignment="1">
      <alignment horizontal="center" wrapText="1"/>
    </xf>
    <xf numFmtId="9" fontId="11" fillId="13" borderId="7" xfId="0" applyNumberFormat="1" applyFont="1" applyFill="1" applyBorder="1" applyAlignment="1">
      <alignment horizontal="center" wrapText="1"/>
    </xf>
    <xf numFmtId="0" fontId="10" fillId="6" borderId="6" xfId="0" applyFont="1" applyFill="1" applyBorder="1" applyAlignment="1">
      <alignment horizontal="center"/>
    </xf>
    <xf numFmtId="0" fontId="2" fillId="6" borderId="0" xfId="0" applyFont="1" applyFill="1" applyAlignment="1"/>
    <xf numFmtId="164" fontId="2" fillId="6" borderId="0" xfId="0" applyNumberFormat="1" applyFont="1" applyFill="1" applyAlignment="1"/>
    <xf numFmtId="3" fontId="2" fillId="6" borderId="0" xfId="0" applyNumberFormat="1" applyFont="1" applyFill="1" applyAlignment="1"/>
    <xf numFmtId="165" fontId="11" fillId="0" borderId="5" xfId="0" applyNumberFormat="1" applyFont="1" applyBorder="1" applyAlignment="1">
      <alignment horizontal="center" wrapText="1"/>
    </xf>
    <xf numFmtId="9" fontId="11" fillId="14" borderId="7" xfId="0" applyNumberFormat="1" applyFont="1" applyFill="1" applyBorder="1" applyAlignment="1">
      <alignment horizontal="center" wrapText="1"/>
    </xf>
    <xf numFmtId="9" fontId="11" fillId="15" borderId="7" xfId="0" applyNumberFormat="1" applyFont="1" applyFill="1" applyBorder="1" applyAlignment="1">
      <alignment horizontal="center" wrapText="1"/>
    </xf>
    <xf numFmtId="9" fontId="11" fillId="2" borderId="7" xfId="0" applyNumberFormat="1" applyFont="1" applyFill="1" applyBorder="1" applyAlignment="1">
      <alignment horizontal="center" wrapText="1"/>
    </xf>
    <xf numFmtId="0" fontId="2" fillId="6" borderId="11" xfId="0" applyFont="1" applyFill="1" applyBorder="1" applyAlignment="1"/>
    <xf numFmtId="0" fontId="3" fillId="2" borderId="3" xfId="0" applyFont="1" applyFill="1" applyBorder="1"/>
    <xf numFmtId="14" fontId="2" fillId="0" borderId="0" xfId="0" applyNumberFormat="1" applyFont="1"/>
    <xf numFmtId="0" fontId="12" fillId="2" borderId="3" xfId="0" applyFont="1" applyFill="1" applyBorder="1" applyAlignment="1">
      <alignment vertical="center"/>
    </xf>
    <xf numFmtId="0" fontId="13" fillId="2" borderId="0" xfId="0" applyFont="1" applyFill="1" applyAlignment="1">
      <alignment horizontal="left"/>
    </xf>
    <xf numFmtId="0" fontId="14" fillId="2" borderId="3" xfId="0" applyFont="1" applyFill="1" applyBorder="1" applyAlignment="1">
      <alignment vertical="center"/>
    </xf>
    <xf numFmtId="0" fontId="8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2" fillId="0" borderId="1" xfId="0" applyFont="1" applyBorder="1"/>
    <xf numFmtId="0" fontId="9" fillId="6" borderId="0" xfId="0" applyFont="1" applyFill="1" applyAlignment="1"/>
    <xf numFmtId="0" fontId="4" fillId="0" borderId="1" xfId="0" applyFont="1" applyBorder="1"/>
    <xf numFmtId="0" fontId="10" fillId="0" borderId="0" xfId="0" applyFont="1"/>
    <xf numFmtId="164" fontId="10" fillId="0" borderId="0" xfId="0" applyNumberFormat="1" applyFont="1"/>
    <xf numFmtId="3" fontId="10" fillId="0" borderId="0" xfId="0" applyNumberFormat="1" applyFont="1"/>
    <xf numFmtId="0" fontId="11" fillId="0" borderId="0" xfId="0" applyFont="1" applyAlignment="1">
      <alignment wrapText="1"/>
    </xf>
    <xf numFmtId="0" fontId="11" fillId="9" borderId="0" xfId="0" applyFont="1" applyFill="1" applyAlignment="1">
      <alignment horizontal="center" wrapText="1"/>
    </xf>
    <xf numFmtId="9" fontId="11" fillId="7" borderId="0" xfId="0" applyNumberFormat="1" applyFont="1" applyFill="1" applyAlignment="1">
      <alignment horizontal="center" wrapText="1"/>
    </xf>
    <xf numFmtId="0" fontId="15" fillId="9" borderId="0" xfId="0" applyFont="1" applyFill="1" applyAlignment="1">
      <alignment horizontal="center"/>
    </xf>
    <xf numFmtId="9" fontId="11" fillId="8" borderId="0" xfId="0" applyNumberFormat="1" applyFont="1" applyFill="1" applyAlignment="1">
      <alignment horizontal="center" wrapText="1"/>
    </xf>
    <xf numFmtId="9" fontId="11" fillId="11" borderId="0" xfId="0" applyNumberFormat="1" applyFont="1" applyFill="1" applyAlignment="1">
      <alignment horizontal="center" wrapText="1"/>
    </xf>
    <xf numFmtId="9" fontId="11" fillId="12" borderId="0" xfId="0" applyNumberFormat="1" applyFont="1" applyFill="1" applyAlignment="1">
      <alignment horizontal="center" wrapText="1"/>
    </xf>
    <xf numFmtId="0" fontId="10" fillId="6" borderId="0" xfId="0" applyFont="1" applyFill="1" applyAlignment="1">
      <alignment horizontal="center"/>
    </xf>
    <xf numFmtId="165" fontId="11" fillId="0" borderId="0" xfId="0" applyNumberFormat="1" applyFont="1" applyAlignment="1">
      <alignment horizontal="center" wrapText="1"/>
    </xf>
    <xf numFmtId="165" fontId="11" fillId="2" borderId="0" xfId="0" applyNumberFormat="1" applyFont="1" applyFill="1" applyAlignment="1">
      <alignment horizontal="center" wrapText="1"/>
    </xf>
    <xf numFmtId="9" fontId="11" fillId="14" borderId="0" xfId="0" applyNumberFormat="1" applyFont="1" applyFill="1" applyAlignment="1">
      <alignment horizontal="center" wrapText="1"/>
    </xf>
    <xf numFmtId="9" fontId="11" fillId="15" borderId="0" xfId="0" applyNumberFormat="1" applyFont="1" applyFill="1" applyAlignment="1">
      <alignment horizontal="center" wrapText="1"/>
    </xf>
    <xf numFmtId="9" fontId="11" fillId="2" borderId="0" xfId="0" applyNumberFormat="1" applyFont="1" applyFill="1" applyAlignment="1">
      <alignment horizontal="center" wrapText="1"/>
    </xf>
    <xf numFmtId="0" fontId="4" fillId="0" borderId="2" xfId="0" applyFont="1" applyBorder="1"/>
    <xf numFmtId="0" fontId="0" fillId="0" borderId="12" xfId="0" applyFont="1" applyBorder="1" applyAlignment="1"/>
    <xf numFmtId="0" fontId="0" fillId="0" borderId="0" xfId="0" applyFont="1" applyAlignment="1"/>
    <xf numFmtId="1" fontId="11" fillId="9" borderId="0" xfId="0" applyNumberFormat="1" applyFont="1" applyFill="1" applyAlignment="1">
      <alignment horizontal="center" wrapText="1"/>
    </xf>
    <xf numFmtId="0" fontId="11" fillId="9" borderId="0" xfId="0" applyNumberFormat="1" applyFont="1" applyFill="1" applyAlignment="1">
      <alignment horizontal="center" wrapText="1"/>
    </xf>
    <xf numFmtId="0" fontId="0" fillId="0" borderId="0" xfId="0" applyFont="1" applyAlignment="1"/>
    <xf numFmtId="0" fontId="16" fillId="0" borderId="0" xfId="0" applyFont="1" applyAlignment="1">
      <alignment horizontal="center"/>
    </xf>
    <xf numFmtId="0" fontId="18" fillId="0" borderId="0" xfId="0" applyFont="1"/>
    <xf numFmtId="0" fontId="17" fillId="0" borderId="0" xfId="0" applyFont="1" applyAlignment="1"/>
    <xf numFmtId="0" fontId="0" fillId="0" borderId="0" xfId="0" applyFont="1" applyAlignment="1"/>
    <xf numFmtId="0" fontId="17" fillId="0" borderId="0" xfId="0" applyFont="1" applyAlignment="1"/>
    <xf numFmtId="0" fontId="0" fillId="0" borderId="0" xfId="0" applyFont="1" applyAlignment="1"/>
    <xf numFmtId="0" fontId="1" fillId="16" borderId="0" xfId="1" applyAlignment="1"/>
    <xf numFmtId="0" fontId="0" fillId="0" borderId="0" xfId="0"/>
    <xf numFmtId="0" fontId="19" fillId="0" borderId="0" xfId="0" applyFont="1" applyAlignment="1"/>
    <xf numFmtId="0" fontId="0" fillId="0" borderId="0" xfId="0" applyFont="1" applyAlignment="1"/>
    <xf numFmtId="0" fontId="0" fillId="0" borderId="0" xfId="0" applyFont="1" applyAlignment="1"/>
    <xf numFmtId="0" fontId="0" fillId="0" borderId="0" xfId="0"/>
    <xf numFmtId="0" fontId="0" fillId="0" borderId="0" xfId="0" applyFont="1" applyAlignment="1"/>
    <xf numFmtId="0" fontId="23" fillId="0" borderId="0" xfId="0" applyFont="1" applyAlignment="1">
      <alignment wrapText="1"/>
    </xf>
    <xf numFmtId="14" fontId="24" fillId="0" borderId="0" xfId="0" applyNumberFormat="1" applyFont="1"/>
    <xf numFmtId="0" fontId="24" fillId="2" borderId="0" xfId="0" applyFont="1" applyFill="1"/>
    <xf numFmtId="0" fontId="26" fillId="6" borderId="0" xfId="0" applyFont="1" applyFill="1" applyAlignment="1">
      <alignment horizontal="left"/>
    </xf>
    <xf numFmtId="14" fontId="27" fillId="6" borderId="0" xfId="0" applyNumberFormat="1" applyFont="1" applyFill="1" applyAlignment="1">
      <alignment horizontal="center"/>
    </xf>
    <xf numFmtId="0" fontId="27" fillId="6" borderId="0" xfId="0" applyFont="1" applyFill="1" applyAlignment="1">
      <alignment horizontal="center"/>
    </xf>
    <xf numFmtId="0" fontId="23" fillId="0" borderId="0" xfId="0" applyFont="1" applyAlignment="1"/>
    <xf numFmtId="14" fontId="28" fillId="0" borderId="0" xfId="0" applyNumberFormat="1" applyFont="1" applyAlignment="1">
      <alignment horizontal="center" wrapText="1"/>
    </xf>
    <xf numFmtId="14" fontId="28" fillId="2" borderId="0" xfId="0" applyNumberFormat="1" applyFont="1" applyFill="1" applyAlignment="1">
      <alignment horizontal="center" wrapText="1"/>
    </xf>
    <xf numFmtId="1" fontId="28" fillId="9" borderId="0" xfId="0" applyNumberFormat="1" applyFont="1" applyFill="1" applyAlignment="1">
      <alignment horizontal="center" wrapText="1"/>
    </xf>
    <xf numFmtId="0" fontId="28" fillId="9" borderId="0" xfId="0" applyNumberFormat="1" applyFont="1" applyFill="1" applyAlignment="1">
      <alignment horizontal="center" wrapText="1"/>
    </xf>
    <xf numFmtId="0" fontId="21" fillId="16" borderId="0" xfId="1" applyFont="1" applyAlignment="1">
      <alignment horizontal="center"/>
    </xf>
    <xf numFmtId="0" fontId="24" fillId="0" borderId="0" xfId="0" applyFont="1"/>
    <xf numFmtId="0" fontId="26" fillId="16" borderId="0" xfId="1" applyFont="1" applyAlignment="1">
      <alignment wrapText="1"/>
    </xf>
    <xf numFmtId="0" fontId="26" fillId="16" borderId="0" xfId="1" applyFont="1" applyAlignment="1"/>
    <xf numFmtId="0" fontId="29" fillId="0" borderId="0" xfId="0" applyFont="1" applyAlignment="1"/>
    <xf numFmtId="0" fontId="31" fillId="0" borderId="0" xfId="0" applyFont="1" applyAlignment="1"/>
    <xf numFmtId="0" fontId="31" fillId="0" borderId="0" xfId="0" applyFont="1"/>
    <xf numFmtId="0" fontId="2" fillId="2" borderId="0" xfId="0" applyFont="1" applyFill="1" applyAlignment="1">
      <alignment horizontal="center"/>
    </xf>
    <xf numFmtId="0" fontId="24" fillId="2" borderId="0" xfId="0" applyFont="1" applyFill="1" applyAlignment="1">
      <alignment horizontal="center"/>
    </xf>
    <xf numFmtId="0" fontId="24" fillId="0" borderId="0" xfId="0" applyFont="1" applyAlignment="1">
      <alignment horizontal="center"/>
    </xf>
    <xf numFmtId="14" fontId="21" fillId="16" borderId="0" xfId="1" applyNumberFormat="1" applyFont="1" applyAlignment="1">
      <alignment horizontal="center"/>
    </xf>
    <xf numFmtId="0" fontId="0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Alignment="1"/>
    <xf numFmtId="0" fontId="23" fillId="0" borderId="0" xfId="0" applyFont="1" applyAlignment="1">
      <alignment vertical="center" wrapText="1"/>
    </xf>
    <xf numFmtId="0" fontId="30" fillId="16" borderId="0" xfId="1" applyFont="1" applyAlignment="1"/>
    <xf numFmtId="0" fontId="22" fillId="0" borderId="0" xfId="0" applyFont="1" applyAlignment="1">
      <alignment vertical="center"/>
    </xf>
    <xf numFmtId="0" fontId="31" fillId="0" borderId="0" xfId="0" applyFont="1" applyAlignment="1">
      <alignment vertical="center"/>
    </xf>
    <xf numFmtId="0" fontId="0" fillId="0" borderId="0" xfId="0" applyAlignment="1">
      <alignment vertical="center"/>
    </xf>
    <xf numFmtId="0" fontId="0" fillId="0" borderId="0" xfId="0" applyFont="1" applyAlignment="1">
      <alignment vertical="center"/>
    </xf>
    <xf numFmtId="0" fontId="0" fillId="0" borderId="0" xfId="0" applyFont="1" applyAlignment="1"/>
    <xf numFmtId="0" fontId="0" fillId="0" borderId="0" xfId="0" applyFont="1" applyAlignment="1"/>
    <xf numFmtId="0" fontId="22" fillId="0" borderId="0" xfId="0" applyFont="1" applyAlignment="1"/>
    <xf numFmtId="0" fontId="0" fillId="0" borderId="0" xfId="0"/>
    <xf numFmtId="0" fontId="0" fillId="0" borderId="0" xfId="0" applyFont="1" applyAlignment="1"/>
    <xf numFmtId="0" fontId="0" fillId="0" borderId="0" xfId="0"/>
    <xf numFmtId="0" fontId="22" fillId="0" borderId="0" xfId="0" applyFont="1" applyAlignment="1"/>
    <xf numFmtId="0" fontId="0" fillId="0" borderId="0" xfId="0" applyFont="1" applyAlignment="1"/>
    <xf numFmtId="0" fontId="22" fillId="0" borderId="0" xfId="0" applyFont="1"/>
    <xf numFmtId="0" fontId="22" fillId="0" borderId="0" xfId="0" applyFont="1" applyAlignment="1"/>
    <xf numFmtId="0" fontId="0" fillId="0" borderId="0" xfId="0"/>
    <xf numFmtId="14" fontId="22" fillId="0" borderId="0" xfId="0" applyNumberFormat="1" applyFont="1" applyAlignment="1">
      <alignment horizontal="center"/>
    </xf>
    <xf numFmtId="0" fontId="22" fillId="0" borderId="0" xfId="0" applyFont="1" applyAlignment="1">
      <alignment horizontal="center"/>
    </xf>
    <xf numFmtId="0" fontId="0" fillId="0" borderId="0" xfId="0" applyFont="1" applyAlignment="1"/>
    <xf numFmtId="0" fontId="0" fillId="0" borderId="0" xfId="0"/>
    <xf numFmtId="0" fontId="22" fillId="0" borderId="0" xfId="0" applyFont="1" applyAlignment="1"/>
    <xf numFmtId="0" fontId="22" fillId="0" borderId="0" xfId="0" applyFont="1"/>
    <xf numFmtId="0" fontId="34" fillId="2" borderId="0" xfId="0" applyFont="1" applyFill="1"/>
    <xf numFmtId="0" fontId="22" fillId="0" borderId="0" xfId="0" applyFont="1" applyAlignment="1">
      <alignment vertical="center"/>
    </xf>
    <xf numFmtId="0" fontId="8" fillId="0" borderId="0" xfId="0" applyFont="1" applyAlignment="1"/>
    <xf numFmtId="0" fontId="32" fillId="17" borderId="0" xfId="3" applyAlignment="1"/>
    <xf numFmtId="0" fontId="35" fillId="17" borderId="0" xfId="3" applyFont="1" applyAlignment="1">
      <alignment horizontal="center" vertical="center"/>
    </xf>
    <xf numFmtId="14" fontId="35" fillId="17" borderId="0" xfId="3" applyNumberFormat="1" applyFont="1" applyAlignment="1">
      <alignment horizontal="center" vertical="center"/>
    </xf>
    <xf numFmtId="0" fontId="33" fillId="18" borderId="0" xfId="4" applyAlignment="1"/>
    <xf numFmtId="0" fontId="22" fillId="0" borderId="0" xfId="0" applyFont="1" applyAlignment="1">
      <alignment horizontal="center" vertical="center"/>
    </xf>
    <xf numFmtId="14" fontId="22" fillId="0" borderId="0" xfId="0" applyNumberFormat="1" applyFont="1" applyAlignment="1">
      <alignment horizontal="center" vertical="center"/>
    </xf>
    <xf numFmtId="0" fontId="38" fillId="0" borderId="0" xfId="0" applyFont="1" applyAlignment="1"/>
    <xf numFmtId="0" fontId="38" fillId="0" borderId="0" xfId="0" applyFont="1"/>
    <xf numFmtId="0" fontId="38" fillId="0" borderId="0" xfId="0" applyFont="1" applyAlignment="1">
      <alignment horizontal="center"/>
    </xf>
    <xf numFmtId="0" fontId="39" fillId="16" borderId="0" xfId="1" applyFont="1" applyAlignment="1">
      <alignment horizontal="center"/>
    </xf>
    <xf numFmtId="14" fontId="39" fillId="16" borderId="0" xfId="1" applyNumberFormat="1" applyFont="1" applyAlignment="1">
      <alignment horizontal="center"/>
    </xf>
    <xf numFmtId="0" fontId="38" fillId="0" borderId="0" xfId="0" applyFont="1" applyAlignment="1">
      <alignment horizontal="center" vertical="center"/>
    </xf>
    <xf numFmtId="0" fontId="38" fillId="0" borderId="0" xfId="0" applyFont="1" applyAlignment="1">
      <alignment vertical="center"/>
    </xf>
    <xf numFmtId="14" fontId="40" fillId="16" borderId="0" xfId="1" applyNumberFormat="1" applyFont="1" applyAlignment="1">
      <alignment horizontal="center"/>
    </xf>
    <xf numFmtId="0" fontId="33" fillId="18" borderId="0" xfId="4" applyAlignment="1">
      <alignment vertical="center"/>
    </xf>
    <xf numFmtId="0" fontId="41" fillId="17" borderId="0" xfId="3" applyNumberFormat="1" applyFont="1" applyAlignment="1">
      <alignment horizontal="center" vertical="center" wrapText="1"/>
    </xf>
    <xf numFmtId="14" fontId="35" fillId="17" borderId="0" xfId="3" applyNumberFormat="1" applyFont="1" applyAlignment="1">
      <alignment horizontal="center" vertical="center" wrapText="1"/>
    </xf>
    <xf numFmtId="0" fontId="35" fillId="17" borderId="0" xfId="3" applyNumberFormat="1" applyFont="1" applyAlignment="1">
      <alignment horizontal="center" vertical="center" wrapText="1"/>
    </xf>
    <xf numFmtId="14" fontId="37" fillId="18" borderId="0" xfId="4" applyNumberFormat="1" applyFont="1" applyAlignment="1">
      <alignment horizontal="center" vertical="center"/>
    </xf>
    <xf numFmtId="0" fontId="37" fillId="18" borderId="0" xfId="4" applyFont="1" applyAlignment="1">
      <alignment horizontal="center" vertical="center"/>
    </xf>
    <xf numFmtId="14" fontId="28" fillId="0" borderId="0" xfId="0" applyNumberFormat="1" applyFont="1" applyAlignment="1">
      <alignment horizontal="center" vertical="center" wrapText="1"/>
    </xf>
    <xf numFmtId="14" fontId="28" fillId="2" borderId="0" xfId="0" applyNumberFormat="1" applyFont="1" applyFill="1" applyAlignment="1">
      <alignment horizontal="center" vertical="center" wrapText="1"/>
    </xf>
    <xf numFmtId="1" fontId="28" fillId="9" borderId="0" xfId="0" applyNumberFormat="1" applyFont="1" applyFill="1" applyAlignment="1">
      <alignment horizontal="center" vertical="center" wrapText="1"/>
    </xf>
    <xf numFmtId="0" fontId="28" fillId="9" borderId="0" xfId="0" applyNumberFormat="1" applyFont="1" applyFill="1" applyAlignment="1">
      <alignment horizontal="center" vertical="center" wrapText="1"/>
    </xf>
    <xf numFmtId="14" fontId="37" fillId="18" borderId="0" xfId="4" applyNumberFormat="1" applyFont="1" applyAlignment="1">
      <alignment horizontal="center" vertical="center" wrapText="1"/>
    </xf>
    <xf numFmtId="0" fontId="37" fillId="18" borderId="0" xfId="4" applyNumberFormat="1" applyFont="1" applyAlignment="1">
      <alignment horizontal="center" vertical="center" wrapText="1"/>
    </xf>
    <xf numFmtId="0" fontId="42" fillId="0" borderId="0" xfId="2" applyFont="1" applyAlignment="1">
      <alignment horizontal="center"/>
    </xf>
    <xf numFmtId="0" fontId="42" fillId="0" borderId="0" xfId="2" applyFont="1" applyAlignment="1"/>
    <xf numFmtId="0" fontId="36" fillId="17" borderId="0" xfId="3" applyFont="1" applyAlignment="1">
      <alignment horizontal="left" vertical="center"/>
    </xf>
    <xf numFmtId="0" fontId="36" fillId="17" borderId="0" xfId="3" applyFont="1" applyAlignment="1">
      <alignment horizontal="left" vertical="center" wrapText="1"/>
    </xf>
    <xf numFmtId="0" fontId="44" fillId="18" borderId="0" xfId="4" applyFont="1" applyAlignment="1">
      <alignment horizontal="left"/>
    </xf>
    <xf numFmtId="0" fontId="44" fillId="18" borderId="0" xfId="4" applyFont="1" applyAlignment="1">
      <alignment horizontal="left" vertical="center"/>
    </xf>
    <xf numFmtId="0" fontId="44" fillId="18" borderId="0" xfId="4" applyFont="1" applyAlignment="1">
      <alignment vertical="center" wrapText="1"/>
    </xf>
    <xf numFmtId="0" fontId="45" fillId="0" borderId="0" xfId="2" applyFont="1" applyAlignment="1">
      <alignment vertical="center"/>
    </xf>
    <xf numFmtId="0" fontId="46" fillId="0" borderId="0" xfId="0" applyFont="1" applyAlignment="1"/>
    <xf numFmtId="0" fontId="46" fillId="0" borderId="0" xfId="0" applyFont="1" applyAlignment="1">
      <alignment horizontal="center"/>
    </xf>
    <xf numFmtId="14" fontId="47" fillId="0" borderId="0" xfId="0" applyNumberFormat="1" applyFont="1"/>
    <xf numFmtId="0" fontId="48" fillId="2" borderId="0" xfId="0" applyFont="1" applyFill="1"/>
    <xf numFmtId="0" fontId="47" fillId="2" borderId="0" xfId="0" applyFont="1" applyFill="1" applyAlignment="1">
      <alignment horizontal="center"/>
    </xf>
    <xf numFmtId="0" fontId="47" fillId="2" borderId="0" xfId="0" applyFont="1" applyFill="1"/>
    <xf numFmtId="0" fontId="46" fillId="0" borderId="0" xfId="0" applyFont="1"/>
    <xf numFmtId="0" fontId="46" fillId="0" borderId="0" xfId="0" applyFont="1" applyAlignment="1">
      <alignment vertical="center"/>
    </xf>
    <xf numFmtId="0" fontId="46" fillId="0" borderId="0" xfId="0" applyFont="1" applyAlignment="1">
      <alignment horizontal="center" vertical="center"/>
    </xf>
    <xf numFmtId="14" fontId="46" fillId="0" borderId="0" xfId="0" applyNumberFormat="1" applyFont="1" applyAlignment="1">
      <alignment horizontal="center" vertical="center"/>
    </xf>
    <xf numFmtId="0" fontId="50" fillId="17" borderId="0" xfId="3" applyFont="1" applyAlignment="1">
      <alignment horizontal="left" vertical="center"/>
    </xf>
    <xf numFmtId="14" fontId="51" fillId="17" borderId="0" xfId="3" applyNumberFormat="1" applyFont="1" applyAlignment="1">
      <alignment horizontal="center" vertical="center"/>
    </xf>
    <xf numFmtId="0" fontId="51" fillId="17" borderId="0" xfId="3" applyFont="1" applyAlignment="1">
      <alignment horizontal="center" vertical="center"/>
    </xf>
    <xf numFmtId="0" fontId="50" fillId="17" borderId="0" xfId="3" applyFont="1" applyAlignment="1">
      <alignment horizontal="left" vertical="center" wrapText="1"/>
    </xf>
    <xf numFmtId="14" fontId="51" fillId="17" borderId="0" xfId="3" applyNumberFormat="1" applyFont="1" applyAlignment="1">
      <alignment horizontal="center" vertical="center" wrapText="1"/>
    </xf>
    <xf numFmtId="0" fontId="52" fillId="17" borderId="0" xfId="3" applyNumberFormat="1" applyFont="1" applyAlignment="1">
      <alignment horizontal="center" vertical="center" wrapText="1"/>
    </xf>
    <xf numFmtId="0" fontId="51" fillId="17" borderId="0" xfId="3" applyNumberFormat="1" applyFont="1" applyAlignment="1">
      <alignment horizontal="center" vertical="center" wrapText="1"/>
    </xf>
    <xf numFmtId="0" fontId="53" fillId="18" borderId="0" xfId="4" applyFont="1" applyAlignment="1">
      <alignment horizontal="left"/>
    </xf>
    <xf numFmtId="14" fontId="54" fillId="18" borderId="0" xfId="4" applyNumberFormat="1" applyFont="1" applyAlignment="1">
      <alignment horizontal="center" vertical="center"/>
    </xf>
    <xf numFmtId="0" fontId="54" fillId="18" borderId="0" xfId="4" applyFont="1" applyAlignment="1">
      <alignment horizontal="center" vertical="center"/>
    </xf>
    <xf numFmtId="0" fontId="53" fillId="18" borderId="0" xfId="4" applyFont="1" applyAlignment="1">
      <alignment horizontal="left" vertical="center"/>
    </xf>
    <xf numFmtId="0" fontId="53" fillId="18" borderId="0" xfId="4" applyFont="1" applyAlignment="1">
      <alignment vertical="center" wrapText="1"/>
    </xf>
    <xf numFmtId="14" fontId="54" fillId="18" borderId="0" xfId="4" applyNumberFormat="1" applyFont="1" applyAlignment="1">
      <alignment horizontal="center" vertical="center" wrapText="1"/>
    </xf>
    <xf numFmtId="0" fontId="54" fillId="18" borderId="0" xfId="4" applyNumberFormat="1" applyFont="1" applyAlignment="1">
      <alignment horizontal="center" vertical="center" wrapText="1"/>
    </xf>
    <xf numFmtId="0" fontId="55" fillId="6" borderId="0" xfId="0" applyFont="1" applyFill="1" applyAlignment="1">
      <alignment horizontal="left"/>
    </xf>
    <xf numFmtId="14" fontId="56" fillId="6" borderId="0" xfId="0" applyNumberFormat="1" applyFont="1" applyFill="1" applyAlignment="1">
      <alignment horizontal="center"/>
    </xf>
    <xf numFmtId="0" fontId="57" fillId="16" borderId="0" xfId="1" applyFont="1" applyAlignment="1">
      <alignment horizontal="center"/>
    </xf>
    <xf numFmtId="0" fontId="58" fillId="0" borderId="0" xfId="0" applyFont="1" applyAlignment="1"/>
    <xf numFmtId="14" fontId="46" fillId="0" borderId="0" xfId="0" applyNumberFormat="1" applyFont="1" applyAlignment="1">
      <alignment horizontal="center"/>
    </xf>
    <xf numFmtId="0" fontId="47" fillId="0" borderId="0" xfId="0" applyFont="1"/>
    <xf numFmtId="0" fontId="56" fillId="6" borderId="0" xfId="0" applyFont="1" applyFill="1" applyAlignment="1">
      <alignment horizontal="center"/>
    </xf>
    <xf numFmtId="0" fontId="55" fillId="16" borderId="0" xfId="1" applyFont="1" applyAlignment="1">
      <alignment wrapText="1"/>
    </xf>
    <xf numFmtId="14" fontId="57" fillId="16" borderId="0" xfId="1" applyNumberFormat="1" applyFont="1" applyAlignment="1">
      <alignment horizontal="center"/>
    </xf>
    <xf numFmtId="0" fontId="59" fillId="0" borderId="0" xfId="2" applyFont="1" applyAlignment="1">
      <alignment vertical="center"/>
    </xf>
    <xf numFmtId="0" fontId="60" fillId="0" borderId="0" xfId="2" applyFont="1" applyAlignment="1">
      <alignment horizontal="center"/>
    </xf>
    <xf numFmtId="0" fontId="60" fillId="0" borderId="0" xfId="2" applyFont="1" applyAlignment="1"/>
    <xf numFmtId="0" fontId="55" fillId="16" borderId="0" xfId="1" applyFont="1" applyAlignment="1"/>
    <xf numFmtId="0" fontId="61" fillId="0" borderId="0" xfId="0" applyFont="1" applyAlignment="1"/>
    <xf numFmtId="0" fontId="62" fillId="16" borderId="0" xfId="1" applyFont="1" applyAlignment="1"/>
    <xf numFmtId="0" fontId="51" fillId="17" borderId="0" xfId="3" applyFont="1" applyAlignment="1">
      <alignment vertical="center" wrapText="1"/>
    </xf>
    <xf numFmtId="0" fontId="63" fillId="0" borderId="0" xfId="0" applyFont="1" applyAlignment="1"/>
    <xf numFmtId="0" fontId="63" fillId="0" borderId="0" xfId="0" applyFont="1" applyAlignment="1">
      <alignment vertical="center"/>
    </xf>
    <xf numFmtId="0" fontId="7" fillId="3" borderId="0" xfId="0" applyFont="1" applyFill="1" applyAlignment="1">
      <alignment horizontal="center" vertical="center" wrapText="1"/>
    </xf>
    <xf numFmtId="0" fontId="0" fillId="0" borderId="0" xfId="0" applyFont="1" applyAlignment="1"/>
    <xf numFmtId="0" fontId="8" fillId="6" borderId="0" xfId="0" applyFont="1" applyFill="1" applyAlignment="1">
      <alignment horizontal="center"/>
    </xf>
    <xf numFmtId="0" fontId="8" fillId="5" borderId="0" xfId="0" applyFont="1" applyFill="1" applyAlignment="1">
      <alignment horizontal="center"/>
    </xf>
    <xf numFmtId="0" fontId="46" fillId="0" borderId="0" xfId="0" applyFont="1"/>
    <xf numFmtId="0" fontId="0" fillId="0" borderId="0" xfId="0"/>
    <xf numFmtId="0" fontId="49" fillId="3" borderId="0" xfId="0" applyFont="1" applyFill="1" applyAlignment="1">
      <alignment horizontal="center" vertical="center" wrapText="1"/>
    </xf>
    <xf numFmtId="0" fontId="46" fillId="0" borderId="0" xfId="0" applyFont="1" applyAlignment="1">
      <alignment vertical="center"/>
    </xf>
    <xf numFmtId="0" fontId="46" fillId="0" borderId="0" xfId="0" applyFont="1" applyAlignment="1">
      <alignment horizontal="center" vertical="center"/>
    </xf>
    <xf numFmtId="14" fontId="49" fillId="3" borderId="0" xfId="0" applyNumberFormat="1" applyFont="1" applyFill="1" applyAlignment="1">
      <alignment horizontal="center" vertical="center" wrapText="1"/>
    </xf>
    <xf numFmtId="14" fontId="46" fillId="0" borderId="0" xfId="0" applyNumberFormat="1" applyFont="1" applyAlignment="1">
      <alignment horizontal="center" vertical="center"/>
    </xf>
    <xf numFmtId="0" fontId="46" fillId="0" borderId="0" xfId="0" applyFont="1" applyAlignment="1"/>
    <xf numFmtId="0" fontId="43" fillId="2" borderId="3" xfId="0" applyFont="1" applyFill="1" applyBorder="1"/>
    <xf numFmtId="0" fontId="24" fillId="0" borderId="3" xfId="0" applyFont="1" applyBorder="1"/>
    <xf numFmtId="0" fontId="22" fillId="0" borderId="0" xfId="0" applyFont="1"/>
    <xf numFmtId="0" fontId="25" fillId="3" borderId="0" xfId="0" applyFont="1" applyFill="1" applyAlignment="1">
      <alignment horizontal="center" vertical="center" wrapText="1"/>
    </xf>
    <xf numFmtId="0" fontId="22" fillId="0" borderId="0" xfId="0" applyFont="1" applyAlignment="1"/>
    <xf numFmtId="14" fontId="25" fillId="3" borderId="0" xfId="0" applyNumberFormat="1" applyFont="1" applyFill="1" applyAlignment="1">
      <alignment horizontal="center" vertical="center" wrapText="1"/>
    </xf>
    <xf numFmtId="14" fontId="22" fillId="0" borderId="0" xfId="0" applyNumberFormat="1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22" fillId="0" borderId="0" xfId="0" applyFont="1" applyAlignment="1">
      <alignment vertical="center"/>
    </xf>
    <xf numFmtId="0" fontId="10" fillId="6" borderId="6" xfId="0" applyFont="1" applyFill="1" applyBorder="1" applyAlignment="1">
      <alignment horizontal="center"/>
    </xf>
    <xf numFmtId="0" fontId="4" fillId="0" borderId="6" xfId="0" applyFont="1" applyBorder="1"/>
    <xf numFmtId="0" fontId="10" fillId="6" borderId="6" xfId="0" applyFont="1" applyFill="1" applyBorder="1"/>
    <xf numFmtId="0" fontId="8" fillId="4" borderId="5" xfId="0" applyFont="1" applyFill="1" applyBorder="1" applyAlignment="1">
      <alignment horizontal="center"/>
    </xf>
    <xf numFmtId="0" fontId="4" fillId="0" borderId="5" xfId="0" applyFont="1" applyBorder="1"/>
    <xf numFmtId="0" fontId="8" fillId="5" borderId="5" xfId="0" applyFont="1" applyFill="1" applyBorder="1" applyAlignment="1">
      <alignment horizontal="center"/>
    </xf>
    <xf numFmtId="0" fontId="3" fillId="2" borderId="2" xfId="0" applyFont="1" applyFill="1" applyBorder="1"/>
    <xf numFmtId="0" fontId="4" fillId="0" borderId="3" xfId="0" applyFont="1" applyBorder="1"/>
    <xf numFmtId="0" fontId="7" fillId="3" borderId="4" xfId="0" applyFont="1" applyFill="1" applyBorder="1" applyAlignment="1">
      <alignment horizontal="center" vertical="center" wrapText="1"/>
    </xf>
    <xf numFmtId="0" fontId="4" fillId="0" borderId="4" xfId="0" applyFont="1" applyBorder="1"/>
  </cellXfs>
  <cellStyles count="5">
    <cellStyle name="60% - Accent3" xfId="1" builtinId="40"/>
    <cellStyle name="Good" xfId="3" builtinId="26"/>
    <cellStyle name="Neutral" xfId="4" builtinId="28"/>
    <cellStyle name="Normal" xfId="0" builtinId="0"/>
    <cellStyle name="Warning Text" xfId="2" builtinId="1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bar"/>
        <c:grouping val="stacked"/>
        <c:varyColors val="1"/>
        <c:ser>
          <c:idx val="0"/>
          <c:order val="0"/>
          <c:spPr>
            <a:solidFill>
              <a:srgbClr val="FFFFFF"/>
            </a:solidFill>
          </c:spPr>
          <c:invertIfNegative val="1"/>
          <c:cat>
            <c:strRef>
              <c:f>'Gantt Chart w % Complete'!$B$9:$B$29</c:f>
              <c:strCache>
                <c:ptCount val="21"/>
                <c:pt idx="0">
                  <c:v>Write Landing Page Copy</c:v>
                </c:pt>
                <c:pt idx="1">
                  <c:v>Approve Page Copy</c:v>
                </c:pt>
                <c:pt idx="2">
                  <c:v>Review Landing Page Design</c:v>
                </c:pt>
                <c:pt idx="3">
                  <c:v>Build Landing Page</c:v>
                </c:pt>
                <c:pt idx="4">
                  <c:v>Code Review Landing Page</c:v>
                </c:pt>
                <c:pt idx="6">
                  <c:v>Write Promotional Email</c:v>
                </c:pt>
                <c:pt idx="7">
                  <c:v>Design Promotional Email</c:v>
                </c:pt>
                <c:pt idx="8">
                  <c:v>Send Promotional Email</c:v>
                </c:pt>
                <c:pt idx="9">
                  <c:v>Analyze Campaign Results</c:v>
                </c:pt>
                <c:pt idx="11">
                  <c:v>Plan Agenda for Meeting</c:v>
                </c:pt>
                <c:pt idx="12">
                  <c:v>Reserve Room</c:v>
                </c:pt>
                <c:pt idx="13">
                  <c:v>Finalize Presentation</c:v>
                </c:pt>
                <c:pt idx="14">
                  <c:v>Approve Presentation</c:v>
                </c:pt>
                <c:pt idx="15">
                  <c:v>Create Invitations</c:v>
                </c:pt>
                <c:pt idx="17">
                  <c:v>Rewrite Online Calculator</c:v>
                </c:pt>
                <c:pt idx="18">
                  <c:v>Code Review Calculator</c:v>
                </c:pt>
                <c:pt idx="19">
                  <c:v>Update Messaging</c:v>
                </c:pt>
                <c:pt idx="20">
                  <c:v>Publish Calculator</c:v>
                </c:pt>
              </c:strCache>
            </c:strRef>
          </c:cat>
          <c:val>
            <c:numRef>
              <c:f>'Gantt Chart w % Complete'!$D$9:$D$29</c:f>
              <c:numCache>
                <c:formatCode>General</c:formatCode>
                <c:ptCount val="21"/>
                <c:pt idx="0">
                  <c:v>5</c:v>
                </c:pt>
                <c:pt idx="1">
                  <c:v>8</c:v>
                </c:pt>
                <c:pt idx="2">
                  <c:v>11</c:v>
                </c:pt>
                <c:pt idx="3">
                  <c:v>14</c:v>
                </c:pt>
                <c:pt idx="4">
                  <c:v>17</c:v>
                </c:pt>
                <c:pt idx="6">
                  <c:v>9</c:v>
                </c:pt>
                <c:pt idx="7">
                  <c:v>12</c:v>
                </c:pt>
                <c:pt idx="8">
                  <c:v>17</c:v>
                </c:pt>
                <c:pt idx="9">
                  <c:v>22</c:v>
                </c:pt>
                <c:pt idx="11">
                  <c:v>15</c:v>
                </c:pt>
                <c:pt idx="12">
                  <c:v>22</c:v>
                </c:pt>
                <c:pt idx="13">
                  <c:v>22</c:v>
                </c:pt>
                <c:pt idx="14">
                  <c:v>26</c:v>
                </c:pt>
                <c:pt idx="15">
                  <c:v>22</c:v>
                </c:pt>
                <c:pt idx="17">
                  <c:v>15</c:v>
                </c:pt>
                <c:pt idx="18">
                  <c:v>25</c:v>
                </c:pt>
                <c:pt idx="19">
                  <c:v>24</c:v>
                </c:pt>
                <c:pt idx="20">
                  <c:v>30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0-262F-4ABA-8B9C-9284D792F115}"/>
            </c:ext>
          </c:extLst>
        </c:ser>
        <c:ser>
          <c:idx val="1"/>
          <c:order val="1"/>
          <c:spPr>
            <a:solidFill>
              <a:srgbClr val="5CBCD6"/>
            </a:solidFill>
          </c:spPr>
          <c:invertIfNegative val="1"/>
          <c:cat>
            <c:strRef>
              <c:f>'Gantt Chart w % Complete'!$B$9:$B$29</c:f>
              <c:strCache>
                <c:ptCount val="21"/>
                <c:pt idx="0">
                  <c:v>Write Landing Page Copy</c:v>
                </c:pt>
                <c:pt idx="1">
                  <c:v>Approve Page Copy</c:v>
                </c:pt>
                <c:pt idx="2">
                  <c:v>Review Landing Page Design</c:v>
                </c:pt>
                <c:pt idx="3">
                  <c:v>Build Landing Page</c:v>
                </c:pt>
                <c:pt idx="4">
                  <c:v>Code Review Landing Page</c:v>
                </c:pt>
                <c:pt idx="6">
                  <c:v>Write Promotional Email</c:v>
                </c:pt>
                <c:pt idx="7">
                  <c:v>Design Promotional Email</c:v>
                </c:pt>
                <c:pt idx="8">
                  <c:v>Send Promotional Email</c:v>
                </c:pt>
                <c:pt idx="9">
                  <c:v>Analyze Campaign Results</c:v>
                </c:pt>
                <c:pt idx="11">
                  <c:v>Plan Agenda for Meeting</c:v>
                </c:pt>
                <c:pt idx="12">
                  <c:v>Reserve Room</c:v>
                </c:pt>
                <c:pt idx="13">
                  <c:v>Finalize Presentation</c:v>
                </c:pt>
                <c:pt idx="14">
                  <c:v>Approve Presentation</c:v>
                </c:pt>
                <c:pt idx="15">
                  <c:v>Create Invitations</c:v>
                </c:pt>
                <c:pt idx="17">
                  <c:v>Rewrite Online Calculator</c:v>
                </c:pt>
                <c:pt idx="18">
                  <c:v>Code Review Calculator</c:v>
                </c:pt>
                <c:pt idx="19">
                  <c:v>Update Messaging</c:v>
                </c:pt>
                <c:pt idx="20">
                  <c:v>Publish Calculator</c:v>
                </c:pt>
              </c:strCache>
            </c:strRef>
          </c:cat>
          <c:val>
            <c:numRef>
              <c:f>'Gantt Chart w % Complete'!$G$9:$G$29</c:f>
              <c:numCache>
                <c:formatCode>General</c:formatCode>
                <c:ptCount val="21"/>
                <c:pt idx="0">
                  <c:v>4</c:v>
                </c:pt>
                <c:pt idx="1">
                  <c:v>3.2</c:v>
                </c:pt>
                <c:pt idx="2">
                  <c:v>3.5999999999999996</c:v>
                </c:pt>
                <c:pt idx="3">
                  <c:v>2.4000000000000004</c:v>
                </c:pt>
                <c:pt idx="4">
                  <c:v>1.4000000000000001</c:v>
                </c:pt>
                <c:pt idx="6">
                  <c:v>4</c:v>
                </c:pt>
                <c:pt idx="7">
                  <c:v>6.4</c:v>
                </c:pt>
                <c:pt idx="8">
                  <c:v>1.7999999999999998</c:v>
                </c:pt>
                <c:pt idx="9">
                  <c:v>2</c:v>
                </c:pt>
                <c:pt idx="11">
                  <c:v>5</c:v>
                </c:pt>
                <c:pt idx="12">
                  <c:v>1.6</c:v>
                </c:pt>
                <c:pt idx="13">
                  <c:v>3</c:v>
                </c:pt>
                <c:pt idx="14">
                  <c:v>1.6</c:v>
                </c:pt>
                <c:pt idx="15">
                  <c:v>0.8</c:v>
                </c:pt>
                <c:pt idx="17">
                  <c:v>10</c:v>
                </c:pt>
                <c:pt idx="18">
                  <c:v>4.8000000000000007</c:v>
                </c:pt>
                <c:pt idx="19">
                  <c:v>4.2</c:v>
                </c:pt>
                <c:pt idx="20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1-262F-4ABA-8B9C-9284D792F115}"/>
            </c:ext>
          </c:extLst>
        </c:ser>
        <c:ser>
          <c:idx val="2"/>
          <c:order val="2"/>
          <c:spPr>
            <a:solidFill>
              <a:srgbClr val="6AD9F8"/>
            </a:solidFill>
          </c:spPr>
          <c:invertIfNegative val="1"/>
          <c:cat>
            <c:strRef>
              <c:f>'Gantt Chart w % Complete'!$B$9:$B$29</c:f>
              <c:strCache>
                <c:ptCount val="21"/>
                <c:pt idx="0">
                  <c:v>Write Landing Page Copy</c:v>
                </c:pt>
                <c:pt idx="1">
                  <c:v>Approve Page Copy</c:v>
                </c:pt>
                <c:pt idx="2">
                  <c:v>Review Landing Page Design</c:v>
                </c:pt>
                <c:pt idx="3">
                  <c:v>Build Landing Page</c:v>
                </c:pt>
                <c:pt idx="4">
                  <c:v>Code Review Landing Page</c:v>
                </c:pt>
                <c:pt idx="6">
                  <c:v>Write Promotional Email</c:v>
                </c:pt>
                <c:pt idx="7">
                  <c:v>Design Promotional Email</c:v>
                </c:pt>
                <c:pt idx="8">
                  <c:v>Send Promotional Email</c:v>
                </c:pt>
                <c:pt idx="9">
                  <c:v>Analyze Campaign Results</c:v>
                </c:pt>
                <c:pt idx="11">
                  <c:v>Plan Agenda for Meeting</c:v>
                </c:pt>
                <c:pt idx="12">
                  <c:v>Reserve Room</c:v>
                </c:pt>
                <c:pt idx="13">
                  <c:v>Finalize Presentation</c:v>
                </c:pt>
                <c:pt idx="14">
                  <c:v>Approve Presentation</c:v>
                </c:pt>
                <c:pt idx="15">
                  <c:v>Create Invitations</c:v>
                </c:pt>
                <c:pt idx="17">
                  <c:v>Rewrite Online Calculator</c:v>
                </c:pt>
                <c:pt idx="18">
                  <c:v>Code Review Calculator</c:v>
                </c:pt>
                <c:pt idx="19">
                  <c:v>Update Messaging</c:v>
                </c:pt>
                <c:pt idx="20">
                  <c:v>Publish Calculator</c:v>
                </c:pt>
              </c:strCache>
            </c:strRef>
          </c:cat>
          <c:val>
            <c:numRef>
              <c:f>'Gantt Chart w % Complete'!$H$9:$H$29</c:f>
              <c:numCache>
                <c:formatCode>General</c:formatCode>
                <c:ptCount val="21"/>
                <c:pt idx="0">
                  <c:v>0</c:v>
                </c:pt>
                <c:pt idx="1">
                  <c:v>0.79999999999999982</c:v>
                </c:pt>
                <c:pt idx="2">
                  <c:v>2.4000000000000004</c:v>
                </c:pt>
                <c:pt idx="3">
                  <c:v>3.5999999999999996</c:v>
                </c:pt>
                <c:pt idx="4">
                  <c:v>5.6</c:v>
                </c:pt>
                <c:pt idx="6">
                  <c:v>0</c:v>
                </c:pt>
                <c:pt idx="7">
                  <c:v>1.5999999999999996</c:v>
                </c:pt>
                <c:pt idx="8">
                  <c:v>1.2000000000000002</c:v>
                </c:pt>
                <c:pt idx="9">
                  <c:v>3</c:v>
                </c:pt>
                <c:pt idx="11">
                  <c:v>0</c:v>
                </c:pt>
                <c:pt idx="12">
                  <c:v>0.39999999999999991</c:v>
                </c:pt>
                <c:pt idx="13">
                  <c:v>2</c:v>
                </c:pt>
                <c:pt idx="14">
                  <c:v>2.4</c:v>
                </c:pt>
                <c:pt idx="15">
                  <c:v>3.2</c:v>
                </c:pt>
                <c:pt idx="17">
                  <c:v>0</c:v>
                </c:pt>
                <c:pt idx="18">
                  <c:v>1.1999999999999993</c:v>
                </c:pt>
                <c:pt idx="19">
                  <c:v>2.8</c:v>
                </c:pt>
                <c:pt idx="20">
                  <c:v>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2-262F-4ABA-8B9C-9284D792F1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770828964"/>
        <c:axId val="1807068638"/>
      </c:barChart>
      <c:catAx>
        <c:axId val="1770828964"/>
        <c:scaling>
          <c:orientation val="maxMin"/>
        </c:scaling>
        <c:delete val="0"/>
        <c:axPos val="l"/>
        <c:numFmt formatCode="General" sourceLinked="1"/>
        <c:majorTickMark val="cross"/>
        <c:minorTickMark val="cross"/>
        <c:tickLblPos val="nextTo"/>
        <c:spPr>
          <a:ln>
            <a:noFill/>
          </a:ln>
        </c:spPr>
        <c:txPr>
          <a:bodyPr/>
          <a:lstStyle/>
          <a:p>
            <a:pPr lvl="0">
              <a:defRPr b="0"/>
            </a:pPr>
            <a:endParaRPr lang="en-US"/>
          </a:p>
        </c:txPr>
        <c:crossAx val="1807068638"/>
        <c:crosses val="autoZero"/>
        <c:auto val="1"/>
        <c:lblAlgn val="ctr"/>
        <c:lblOffset val="100"/>
        <c:noMultiLvlLbl val="1"/>
      </c:catAx>
      <c:valAx>
        <c:axId val="1807068638"/>
        <c:scaling>
          <c:orientation val="minMax"/>
        </c:scaling>
        <c:delete val="0"/>
        <c:axPos val="b"/>
        <c:majorGridlines>
          <c:spPr>
            <a:ln>
              <a:solidFill>
                <a:srgbClr val="CCCCCC"/>
              </a:solidFill>
            </a:ln>
          </c:spPr>
        </c:majorGridlines>
        <c:minorGridlines>
          <c:spPr>
            <a:ln>
              <a:noFill/>
            </a:ln>
          </c:spPr>
        </c:minorGridlines>
        <c:title>
          <c:tx>
            <c:rich>
              <a:bodyPr/>
              <a:lstStyle/>
              <a:p>
                <a:pPr lvl="0">
                  <a:defRPr b="0"/>
                </a:pPr>
                <a:r>
                  <a:rPr lang="en-US"/>
                  <a:t>Days of the Month</a:t>
                </a:r>
              </a:p>
            </c:rich>
          </c:tx>
          <c:overlay val="0"/>
        </c:title>
        <c:numFmt formatCode="General" sourceLinked="1"/>
        <c:majorTickMark val="cross"/>
        <c:minorTickMark val="cross"/>
        <c:tickLblPos val="nextTo"/>
        <c:spPr>
          <a:ln w="47625">
            <a:noFill/>
          </a:ln>
        </c:spPr>
        <c:txPr>
          <a:bodyPr/>
          <a:lstStyle/>
          <a:p>
            <a:pPr lvl="0">
              <a:defRPr b="0"/>
            </a:pPr>
            <a:endParaRPr lang="en-US"/>
          </a:p>
        </c:txPr>
        <c:crossAx val="1770828964"/>
        <c:crosses val="max"/>
        <c:crossBetween val="between"/>
      </c:valAx>
    </c:plotArea>
    <c:plotVisOnly val="1"/>
    <c:dispBlanksAs val="zero"/>
    <c:showDLblsOverMax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png"/><Relationship Id="rId2" Type="http://schemas.openxmlformats.org/officeDocument/2006/relationships/hyperlink" Target="https://www.teamgantt.com/signup?utm_source=excel-template&amp;utm_medium=download&amp;utm_campaign=excel-gantt-chart-template" TargetMode="External"/><Relationship Id="rId1" Type="http://schemas.openxmlformats.org/officeDocument/2006/relationships/chart" Target="../charts/chart1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0</xdr:colOff>
      <xdr:row>6</xdr:row>
      <xdr:rowOff>0</xdr:rowOff>
    </xdr:from>
    <xdr:ext cx="8391525" cy="5191125"/>
    <xdr:graphicFrame macro="">
      <xdr:nvGraphicFramePr>
        <xdr:cNvPr id="2" name="Chart 2" titl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22</xdr:col>
      <xdr:colOff>223962</xdr:colOff>
      <xdr:row>1</xdr:row>
      <xdr:rowOff>107950</xdr:rowOff>
    </xdr:to>
    <xdr:pic>
      <xdr:nvPicPr>
        <xdr:cNvPr id="6" name="Picture 5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3CFC8EFD-7B6C-4413-BAAC-D7E8FADEB0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3889162" cy="11049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autoPageBreaks="0"/>
  </sheetPr>
  <dimension ref="A1:AJ50"/>
  <sheetViews>
    <sheetView showGridLines="0" topLeftCell="F2" zoomScale="162" zoomScaleNormal="162" workbookViewId="0">
      <selection activeCell="J10" sqref="J10"/>
    </sheetView>
  </sheetViews>
  <sheetFormatPr defaultColWidth="14.44140625" defaultRowHeight="15.75" customHeight="1"/>
  <cols>
    <col min="1" max="1" width="2.77734375" customWidth="1"/>
    <col min="2" max="2" width="35.77734375" customWidth="1"/>
    <col min="3" max="9" width="12.33203125" customWidth="1"/>
    <col min="10" max="10" width="10.77734375" customWidth="1"/>
    <col min="11" max="12" width="7.33203125" customWidth="1"/>
    <col min="13" max="14" width="3.6640625" customWidth="1"/>
    <col min="15" max="15" width="6.44140625" customWidth="1"/>
    <col min="16" max="34" width="4.44140625" customWidth="1"/>
    <col min="35" max="36" width="7.33203125" customWidth="1"/>
  </cols>
  <sheetData>
    <row r="1" spans="1:36" ht="78.45" customHeight="1">
      <c r="A1" s="1"/>
      <c r="B1" s="1"/>
      <c r="C1" s="1"/>
      <c r="D1" s="2"/>
      <c r="E1" s="2"/>
      <c r="F1" s="2"/>
      <c r="G1" s="2"/>
      <c r="H1" s="2"/>
      <c r="I1" s="2"/>
      <c r="J1" s="2"/>
      <c r="K1" s="1"/>
      <c r="L1" s="1"/>
      <c r="M1" s="1"/>
      <c r="N1" s="1"/>
      <c r="O1" s="2"/>
      <c r="P1" s="1"/>
      <c r="Q1" s="1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</row>
    <row r="2" spans="1:36" ht="13.2">
      <c r="A2" s="1"/>
      <c r="B2" s="1"/>
      <c r="C2" s="1"/>
      <c r="D2" s="2"/>
      <c r="E2" s="2"/>
      <c r="F2" s="2"/>
      <c r="G2" s="2"/>
      <c r="H2" s="2"/>
      <c r="I2" s="2"/>
      <c r="J2" s="2"/>
      <c r="K2" s="1"/>
      <c r="L2" s="1"/>
      <c r="M2" s="1"/>
      <c r="N2" s="1"/>
      <c r="O2" s="2"/>
      <c r="P2" s="1"/>
      <c r="Q2" s="1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</row>
    <row r="3" spans="1:36" ht="33.6">
      <c r="A3" s="44"/>
      <c r="B3" s="46" t="str">
        <f>HYPERLINK("https://www.teamgantt.com/signup?utm_source=google-sheets-gantt-template&amp;utm_medium=download&amp;utm_campaign=google-sheets-gantt-template","Build better gantt charts with TeamGantt for FREE!")</f>
        <v>Build better gantt charts with TeamGantt for FREE!</v>
      </c>
      <c r="C3" s="46"/>
      <c r="D3" s="46"/>
      <c r="E3" s="46"/>
      <c r="F3" s="46"/>
      <c r="G3" s="71"/>
      <c r="H3" s="71"/>
      <c r="I3" s="71"/>
      <c r="J3" s="48"/>
      <c r="K3" s="48"/>
      <c r="L3" s="48"/>
      <c r="M3" s="6"/>
      <c r="N3" s="6"/>
      <c r="O3" s="6"/>
      <c r="P3" s="6"/>
      <c r="Q3" s="6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5"/>
      <c r="AJ3" s="5"/>
    </row>
    <row r="4" spans="1:36" ht="15.75" customHeight="1">
      <c r="A4" s="45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</row>
    <row r="5" spans="1:36" ht="15.75" customHeight="1">
      <c r="A5" s="47" t="s">
        <v>49</v>
      </c>
      <c r="B5" s="1"/>
      <c r="C5" s="1"/>
      <c r="F5" s="1"/>
      <c r="G5" s="1"/>
      <c r="H5" s="1"/>
      <c r="I5" s="1"/>
      <c r="J5" s="1"/>
      <c r="K5" s="1"/>
      <c r="L5" s="1"/>
      <c r="M5" s="1"/>
      <c r="N5" s="1"/>
      <c r="O5" s="1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</row>
    <row r="6" spans="1:36" ht="14.4">
      <c r="A6" s="216"/>
      <c r="B6" s="216" t="s">
        <v>1</v>
      </c>
      <c r="C6" s="216" t="s">
        <v>2</v>
      </c>
      <c r="D6" s="216" t="s">
        <v>53</v>
      </c>
      <c r="E6" s="216" t="s">
        <v>3</v>
      </c>
      <c r="F6" s="216" t="s">
        <v>51</v>
      </c>
      <c r="G6" s="216" t="s">
        <v>54</v>
      </c>
      <c r="H6" s="216" t="s">
        <v>55</v>
      </c>
      <c r="I6" s="216" t="s">
        <v>5</v>
      </c>
      <c r="J6" s="216" t="s">
        <v>6</v>
      </c>
      <c r="K6" s="219"/>
      <c r="L6" s="217"/>
      <c r="M6" s="217"/>
      <c r="N6" s="217"/>
      <c r="O6" s="217"/>
      <c r="P6" s="219" t="s">
        <v>7</v>
      </c>
      <c r="Q6" s="217"/>
      <c r="R6" s="217"/>
      <c r="S6" s="217"/>
      <c r="T6" s="217"/>
      <c r="U6" s="218" t="s">
        <v>8</v>
      </c>
      <c r="V6" s="217"/>
      <c r="W6" s="217"/>
      <c r="X6" s="217"/>
      <c r="Y6" s="217"/>
      <c r="Z6" s="219" t="s">
        <v>9</v>
      </c>
      <c r="AA6" s="217"/>
      <c r="AB6" s="217"/>
      <c r="AC6" s="217"/>
      <c r="AD6" s="217"/>
      <c r="AE6" s="218" t="s">
        <v>10</v>
      </c>
      <c r="AF6" s="217"/>
      <c r="AG6" s="217"/>
      <c r="AH6" s="217"/>
      <c r="AI6" s="217"/>
      <c r="AJ6" s="49"/>
    </row>
    <row r="7" spans="1:36" ht="14.4">
      <c r="A7" s="217"/>
      <c r="B7" s="217"/>
      <c r="C7" s="217"/>
      <c r="D7" s="217"/>
      <c r="E7" s="217"/>
      <c r="F7" s="217"/>
      <c r="G7" s="217"/>
      <c r="H7" s="217"/>
      <c r="I7" s="217"/>
      <c r="J7" s="217"/>
      <c r="K7" s="49"/>
      <c r="L7" s="49"/>
      <c r="M7" s="49"/>
      <c r="N7" s="50"/>
      <c r="O7" s="49"/>
      <c r="P7" s="49"/>
      <c r="Q7" s="49"/>
      <c r="R7" s="49"/>
      <c r="S7" s="50"/>
      <c r="T7" s="49"/>
      <c r="U7" s="49"/>
      <c r="V7" s="49"/>
      <c r="W7" s="49"/>
      <c r="X7" s="50"/>
      <c r="Y7" s="49"/>
      <c r="Z7" s="49"/>
      <c r="AA7" s="49"/>
      <c r="AB7" s="49"/>
      <c r="AC7" s="50"/>
      <c r="AD7" s="49"/>
      <c r="AE7" s="49"/>
      <c r="AF7" s="49"/>
      <c r="AG7" s="49"/>
      <c r="AH7" s="50"/>
      <c r="AI7" s="49"/>
      <c r="AJ7" s="49"/>
    </row>
    <row r="8" spans="1:36" ht="15.6">
      <c r="A8" s="52" t="s">
        <v>24</v>
      </c>
      <c r="B8" s="16"/>
      <c r="C8" s="16"/>
      <c r="D8" s="16"/>
      <c r="E8" s="16"/>
      <c r="F8" s="16"/>
      <c r="G8" s="16"/>
      <c r="H8" s="16"/>
      <c r="I8" s="16"/>
      <c r="J8" s="16"/>
      <c r="K8" s="54"/>
      <c r="L8" s="55"/>
      <c r="M8" s="56"/>
      <c r="N8" s="56"/>
      <c r="O8" s="54"/>
      <c r="P8" s="54"/>
      <c r="Q8" s="54"/>
      <c r="R8" s="54"/>
      <c r="S8" s="54"/>
      <c r="T8" s="54"/>
      <c r="U8" s="54"/>
      <c r="V8" s="54"/>
      <c r="W8" s="54"/>
      <c r="X8" s="54"/>
      <c r="Y8" s="54"/>
      <c r="Z8" s="54"/>
      <c r="AA8" s="54"/>
      <c r="AB8" s="54"/>
      <c r="AC8" s="54"/>
      <c r="AD8" s="54"/>
      <c r="AE8" s="54"/>
      <c r="AF8" s="54"/>
      <c r="AG8" s="54"/>
      <c r="AH8" s="54"/>
      <c r="AI8" s="54"/>
      <c r="AJ8" s="54"/>
    </row>
    <row r="9" spans="1:36" ht="14.4">
      <c r="B9" s="57" t="s">
        <v>25</v>
      </c>
      <c r="C9" s="65">
        <v>43105</v>
      </c>
      <c r="D9" s="58">
        <f>DAY(C9)</f>
        <v>5</v>
      </c>
      <c r="E9" s="66">
        <v>43108</v>
      </c>
      <c r="F9" s="73">
        <f>DATEDIF(C9,E9,"d")+1</f>
        <v>4</v>
      </c>
      <c r="G9" s="60">
        <f>SUM(F9*J9)</f>
        <v>4</v>
      </c>
      <c r="H9" s="74">
        <f>SUM(F9-G9)</f>
        <v>0</v>
      </c>
      <c r="I9" s="57" t="s">
        <v>26</v>
      </c>
      <c r="J9" s="59">
        <v>1</v>
      </c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</row>
    <row r="10" spans="1:36" ht="14.4">
      <c r="B10" s="57" t="s">
        <v>58</v>
      </c>
      <c r="C10" s="65">
        <v>43108</v>
      </c>
      <c r="D10" s="58">
        <f>DAY(C10)</f>
        <v>8</v>
      </c>
      <c r="E10" s="66">
        <v>43111</v>
      </c>
      <c r="F10" s="73">
        <f t="shared" ref="F10:F29" si="0">DATEDIF(C10,E10,"d")+1</f>
        <v>4</v>
      </c>
      <c r="G10" s="60">
        <f t="shared" ref="G10:G29" si="1">SUM(F10*J10)</f>
        <v>3.2</v>
      </c>
      <c r="H10" s="74">
        <f t="shared" ref="H10:H29" si="2">SUM(F10-G10)</f>
        <v>0.79999999999999982</v>
      </c>
      <c r="I10" s="57" t="s">
        <v>27</v>
      </c>
      <c r="J10" s="61">
        <v>0.8</v>
      </c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</row>
    <row r="11" spans="1:36" ht="14.4">
      <c r="B11" s="57" t="s">
        <v>28</v>
      </c>
      <c r="C11" s="65">
        <v>43111</v>
      </c>
      <c r="D11" s="58">
        <f>DAY(C11)</f>
        <v>11</v>
      </c>
      <c r="E11" s="66">
        <v>43116</v>
      </c>
      <c r="F11" s="73">
        <f t="shared" si="0"/>
        <v>6</v>
      </c>
      <c r="G11" s="60">
        <f t="shared" si="1"/>
        <v>3.5999999999999996</v>
      </c>
      <c r="H11" s="74">
        <f t="shared" si="2"/>
        <v>2.4000000000000004</v>
      </c>
      <c r="I11" s="57" t="s">
        <v>29</v>
      </c>
      <c r="J11" s="59">
        <v>0.6</v>
      </c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</row>
    <row r="12" spans="1:36" ht="14.4">
      <c r="B12" s="57" t="s">
        <v>30</v>
      </c>
      <c r="C12" s="65">
        <v>43114</v>
      </c>
      <c r="D12" s="58">
        <f>DAY(C12)</f>
        <v>14</v>
      </c>
      <c r="E12" s="66">
        <v>43119</v>
      </c>
      <c r="F12" s="73">
        <f t="shared" si="0"/>
        <v>6</v>
      </c>
      <c r="G12" s="60">
        <f t="shared" si="1"/>
        <v>2.4000000000000004</v>
      </c>
      <c r="H12" s="74">
        <f t="shared" si="2"/>
        <v>3.5999999999999996</v>
      </c>
      <c r="I12" s="57" t="s">
        <v>31</v>
      </c>
      <c r="J12" s="62">
        <v>0.4</v>
      </c>
    </row>
    <row r="13" spans="1:36" ht="14.4">
      <c r="B13" s="57" t="s">
        <v>32</v>
      </c>
      <c r="C13" s="65">
        <v>43117</v>
      </c>
      <c r="D13" s="58">
        <f>DAY(C13)</f>
        <v>17</v>
      </c>
      <c r="E13" s="66">
        <v>43123</v>
      </c>
      <c r="F13" s="73">
        <f t="shared" si="0"/>
        <v>7</v>
      </c>
      <c r="G13" s="60">
        <f t="shared" si="1"/>
        <v>1.4000000000000001</v>
      </c>
      <c r="H13" s="74">
        <f t="shared" si="2"/>
        <v>5.6</v>
      </c>
      <c r="I13" s="57" t="s">
        <v>33</v>
      </c>
      <c r="J13" s="63">
        <v>0.2</v>
      </c>
    </row>
    <row r="14" spans="1:36" ht="15.6">
      <c r="A14" s="52" t="s">
        <v>36</v>
      </c>
      <c r="B14" s="64"/>
      <c r="C14" s="64"/>
      <c r="D14" s="64"/>
      <c r="E14" s="64"/>
      <c r="F14" s="64"/>
      <c r="G14" s="64"/>
      <c r="H14" s="64"/>
      <c r="I14" s="64"/>
      <c r="J14" s="64"/>
    </row>
    <row r="15" spans="1:36" ht="14.4">
      <c r="B15" s="57" t="s">
        <v>37</v>
      </c>
      <c r="C15" s="65">
        <v>43109</v>
      </c>
      <c r="D15" s="58">
        <f>DAY(C15)</f>
        <v>9</v>
      </c>
      <c r="E15" s="66">
        <v>43112</v>
      </c>
      <c r="F15" s="73">
        <f t="shared" si="0"/>
        <v>4</v>
      </c>
      <c r="G15" s="60">
        <f t="shared" si="1"/>
        <v>4</v>
      </c>
      <c r="H15" s="74">
        <f t="shared" si="2"/>
        <v>0</v>
      </c>
      <c r="I15" s="57" t="s">
        <v>26</v>
      </c>
      <c r="J15" s="67">
        <v>1</v>
      </c>
    </row>
    <row r="16" spans="1:36" ht="14.4">
      <c r="B16" s="57" t="s">
        <v>38</v>
      </c>
      <c r="C16" s="65">
        <v>43112</v>
      </c>
      <c r="D16" s="58">
        <f>DAY(C16)</f>
        <v>12</v>
      </c>
      <c r="E16" s="66">
        <v>43119</v>
      </c>
      <c r="F16" s="73">
        <f t="shared" si="0"/>
        <v>8</v>
      </c>
      <c r="G16" s="60">
        <f t="shared" si="1"/>
        <v>6.4</v>
      </c>
      <c r="H16" s="74">
        <f t="shared" si="2"/>
        <v>1.5999999999999996</v>
      </c>
      <c r="I16" s="57" t="s">
        <v>27</v>
      </c>
      <c r="J16" s="68">
        <v>0.8</v>
      </c>
    </row>
    <row r="17" spans="1:10" ht="14.4">
      <c r="B17" s="57" t="s">
        <v>59</v>
      </c>
      <c r="C17" s="65">
        <v>43117</v>
      </c>
      <c r="D17" s="58">
        <f>DAY(C17)</f>
        <v>17</v>
      </c>
      <c r="E17" s="66">
        <v>43119</v>
      </c>
      <c r="F17" s="73">
        <f t="shared" si="0"/>
        <v>3</v>
      </c>
      <c r="G17" s="60">
        <f t="shared" si="1"/>
        <v>1.7999999999999998</v>
      </c>
      <c r="H17" s="74">
        <f t="shared" si="2"/>
        <v>1.2000000000000002</v>
      </c>
      <c r="I17" s="57" t="s">
        <v>29</v>
      </c>
      <c r="J17" s="69">
        <v>0.6</v>
      </c>
    </row>
    <row r="18" spans="1:10" ht="14.4">
      <c r="B18" s="57" t="s">
        <v>60</v>
      </c>
      <c r="C18" s="65">
        <v>43122</v>
      </c>
      <c r="D18" s="58">
        <f>DAY(C18)</f>
        <v>22</v>
      </c>
      <c r="E18" s="66">
        <v>43126</v>
      </c>
      <c r="F18" s="73">
        <f t="shared" si="0"/>
        <v>5</v>
      </c>
      <c r="G18" s="60">
        <f t="shared" si="1"/>
        <v>2</v>
      </c>
      <c r="H18" s="74">
        <f t="shared" si="2"/>
        <v>3</v>
      </c>
      <c r="I18" s="57" t="s">
        <v>31</v>
      </c>
      <c r="J18" s="69">
        <v>0.4</v>
      </c>
    </row>
    <row r="19" spans="1:10" ht="15.6">
      <c r="A19" s="52" t="s">
        <v>41</v>
      </c>
      <c r="B19" s="64"/>
      <c r="C19" s="64"/>
      <c r="D19" s="64"/>
      <c r="E19" s="64"/>
      <c r="F19" s="64"/>
      <c r="G19" s="64"/>
      <c r="H19" s="64"/>
      <c r="I19" s="64"/>
      <c r="J19" s="64"/>
    </row>
    <row r="20" spans="1:10" ht="14.4">
      <c r="B20" s="57" t="s">
        <v>61</v>
      </c>
      <c r="C20" s="65">
        <v>43115</v>
      </c>
      <c r="D20" s="58">
        <f>DAY(C20)</f>
        <v>15</v>
      </c>
      <c r="E20" s="66">
        <v>43119</v>
      </c>
      <c r="F20" s="73">
        <f t="shared" si="0"/>
        <v>5</v>
      </c>
      <c r="G20" s="60">
        <f t="shared" si="1"/>
        <v>5</v>
      </c>
      <c r="H20" s="74">
        <f t="shared" si="2"/>
        <v>0</v>
      </c>
      <c r="I20" s="57" t="s">
        <v>26</v>
      </c>
      <c r="J20" s="69">
        <v>1</v>
      </c>
    </row>
    <row r="21" spans="1:10" ht="14.4">
      <c r="B21" s="57" t="s">
        <v>62</v>
      </c>
      <c r="C21" s="65">
        <v>43122</v>
      </c>
      <c r="D21" s="58">
        <f>DAY(C21)</f>
        <v>22</v>
      </c>
      <c r="E21" s="66">
        <v>43123</v>
      </c>
      <c r="F21" s="73">
        <f t="shared" si="0"/>
        <v>2</v>
      </c>
      <c r="G21" s="60">
        <f t="shared" si="1"/>
        <v>1.6</v>
      </c>
      <c r="H21" s="74">
        <f t="shared" si="2"/>
        <v>0.39999999999999991</v>
      </c>
      <c r="I21" s="57" t="s">
        <v>27</v>
      </c>
      <c r="J21" s="69">
        <v>0.8</v>
      </c>
    </row>
    <row r="22" spans="1:10" ht="14.4">
      <c r="B22" s="57" t="s">
        <v>63</v>
      </c>
      <c r="C22" s="65">
        <v>43122</v>
      </c>
      <c r="D22" s="58">
        <f>DAY(C22)</f>
        <v>22</v>
      </c>
      <c r="E22" s="66">
        <v>43126</v>
      </c>
      <c r="F22" s="73">
        <f t="shared" si="0"/>
        <v>5</v>
      </c>
      <c r="G22" s="60">
        <f t="shared" si="1"/>
        <v>3</v>
      </c>
      <c r="H22" s="74">
        <f t="shared" si="2"/>
        <v>2</v>
      </c>
      <c r="I22" s="57" t="s">
        <v>29</v>
      </c>
      <c r="J22" s="69">
        <v>0.6</v>
      </c>
    </row>
    <row r="23" spans="1:10" ht="14.4">
      <c r="B23" s="57" t="s">
        <v>64</v>
      </c>
      <c r="C23" s="65">
        <v>43126</v>
      </c>
      <c r="D23" s="58">
        <f>DAY(C23)</f>
        <v>26</v>
      </c>
      <c r="E23" s="66">
        <v>43129</v>
      </c>
      <c r="F23" s="73">
        <f t="shared" si="0"/>
        <v>4</v>
      </c>
      <c r="G23" s="60">
        <f t="shared" si="1"/>
        <v>1.6</v>
      </c>
      <c r="H23" s="74">
        <f t="shared" si="2"/>
        <v>2.4</v>
      </c>
      <c r="I23" s="57" t="s">
        <v>31</v>
      </c>
      <c r="J23" s="69">
        <v>0.4</v>
      </c>
    </row>
    <row r="24" spans="1:10" ht="14.4">
      <c r="B24" s="57" t="s">
        <v>65</v>
      </c>
      <c r="C24" s="65">
        <v>43122</v>
      </c>
      <c r="D24" s="58">
        <f>DAY(C24)</f>
        <v>22</v>
      </c>
      <c r="E24" s="66">
        <v>43125</v>
      </c>
      <c r="F24" s="73">
        <f t="shared" si="0"/>
        <v>4</v>
      </c>
      <c r="G24" s="60">
        <f t="shared" si="1"/>
        <v>0.8</v>
      </c>
      <c r="H24" s="74">
        <f t="shared" si="2"/>
        <v>3.2</v>
      </c>
      <c r="I24" s="57" t="s">
        <v>33</v>
      </c>
      <c r="J24" s="69">
        <v>0.2</v>
      </c>
    </row>
    <row r="25" spans="1:10" ht="15.6">
      <c r="A25" s="52" t="s">
        <v>48</v>
      </c>
      <c r="B25" s="64"/>
      <c r="C25" s="64"/>
      <c r="D25" s="64"/>
      <c r="E25" s="64"/>
      <c r="F25" s="64"/>
      <c r="G25" s="64"/>
      <c r="H25" s="64"/>
      <c r="I25" s="64"/>
      <c r="J25" s="64"/>
    </row>
    <row r="26" spans="1:10" ht="14.4">
      <c r="B26" s="57" t="s">
        <v>66</v>
      </c>
      <c r="C26" s="65">
        <v>43115</v>
      </c>
      <c r="D26" s="58">
        <f>DAY(C26)</f>
        <v>15</v>
      </c>
      <c r="E26" s="66">
        <v>43124</v>
      </c>
      <c r="F26" s="73">
        <f t="shared" si="0"/>
        <v>10</v>
      </c>
      <c r="G26" s="60">
        <f t="shared" si="1"/>
        <v>10</v>
      </c>
      <c r="H26" s="74">
        <f t="shared" si="2"/>
        <v>0</v>
      </c>
      <c r="I26" s="57" t="s">
        <v>26</v>
      </c>
      <c r="J26" s="69">
        <v>1</v>
      </c>
    </row>
    <row r="27" spans="1:10" ht="14.4">
      <c r="B27" s="57" t="s">
        <v>67</v>
      </c>
      <c r="C27" s="65">
        <v>43125</v>
      </c>
      <c r="D27" s="58">
        <f>DAY(C27)</f>
        <v>25</v>
      </c>
      <c r="E27" s="66">
        <v>43130</v>
      </c>
      <c r="F27" s="73">
        <f t="shared" si="0"/>
        <v>6</v>
      </c>
      <c r="G27" s="60">
        <f t="shared" si="1"/>
        <v>4.8000000000000007</v>
      </c>
      <c r="H27" s="74">
        <f t="shared" si="2"/>
        <v>1.1999999999999993</v>
      </c>
      <c r="I27" s="57" t="s">
        <v>27</v>
      </c>
      <c r="J27" s="69">
        <v>0.8</v>
      </c>
    </row>
    <row r="28" spans="1:10" ht="14.4">
      <c r="B28" s="57" t="s">
        <v>68</v>
      </c>
      <c r="C28" s="65">
        <v>43124</v>
      </c>
      <c r="D28" s="58">
        <f>DAY(C28)</f>
        <v>24</v>
      </c>
      <c r="E28" s="66">
        <v>43130</v>
      </c>
      <c r="F28" s="73">
        <f t="shared" si="0"/>
        <v>7</v>
      </c>
      <c r="G28" s="60">
        <f t="shared" si="1"/>
        <v>4.2</v>
      </c>
      <c r="H28" s="74">
        <f t="shared" si="2"/>
        <v>2.8</v>
      </c>
      <c r="I28" s="57" t="s">
        <v>31</v>
      </c>
      <c r="J28" s="69">
        <v>0.6</v>
      </c>
    </row>
    <row r="29" spans="1:10" ht="14.4">
      <c r="B29" s="57" t="s">
        <v>69</v>
      </c>
      <c r="C29" s="65">
        <v>43130</v>
      </c>
      <c r="D29" s="58">
        <f>DAY(C29)</f>
        <v>30</v>
      </c>
      <c r="E29" s="66">
        <v>43131</v>
      </c>
      <c r="F29" s="73">
        <f t="shared" si="0"/>
        <v>2</v>
      </c>
      <c r="G29" s="60">
        <f t="shared" si="1"/>
        <v>0</v>
      </c>
      <c r="H29" s="74">
        <f t="shared" si="2"/>
        <v>2</v>
      </c>
      <c r="I29" s="57" t="s">
        <v>33</v>
      </c>
      <c r="J29" s="69">
        <v>0</v>
      </c>
    </row>
    <row r="30" spans="1:10" ht="15.75" customHeight="1">
      <c r="A30" s="2"/>
      <c r="B30" s="2"/>
      <c r="C30" s="2"/>
      <c r="D30" s="2"/>
      <c r="E30" s="2"/>
      <c r="F30" s="2"/>
      <c r="G30" s="2"/>
      <c r="H30" s="2"/>
      <c r="I30" s="2"/>
      <c r="J30" s="2"/>
    </row>
    <row r="31" spans="1:10" ht="15.75" customHeight="1">
      <c r="A31" s="2"/>
      <c r="B31" s="2"/>
      <c r="C31" s="2"/>
      <c r="D31" s="2"/>
      <c r="E31" s="2"/>
      <c r="F31" s="2"/>
      <c r="G31" s="2"/>
      <c r="H31" s="2"/>
      <c r="I31" s="2"/>
      <c r="J31" s="2"/>
    </row>
    <row r="32" spans="1:10" ht="15.75" customHeight="1">
      <c r="A32" s="2"/>
      <c r="B32" s="2"/>
      <c r="C32" s="2"/>
      <c r="D32" s="2"/>
      <c r="E32" s="2"/>
      <c r="F32" s="2"/>
      <c r="G32" s="2"/>
      <c r="H32" s="2"/>
      <c r="I32" s="2"/>
      <c r="J32" s="2"/>
    </row>
    <row r="36" ht="13.2"/>
    <row r="37" ht="13.2"/>
    <row r="38" ht="13.2"/>
    <row r="39" ht="13.2"/>
    <row r="40" ht="13.2"/>
    <row r="41" ht="13.2"/>
    <row r="42" ht="13.2"/>
    <row r="43" ht="13.2"/>
    <row r="44" ht="13.2"/>
    <row r="45" ht="13.2"/>
    <row r="46" ht="13.2"/>
    <row r="47" ht="13.2"/>
    <row r="48" ht="13.2"/>
    <row r="49" ht="13.2"/>
    <row r="50" ht="13.2"/>
  </sheetData>
  <mergeCells count="15">
    <mergeCell ref="I6:I7"/>
    <mergeCell ref="J6:J7"/>
    <mergeCell ref="F6:F7"/>
    <mergeCell ref="AE6:AI6"/>
    <mergeCell ref="Z6:AD6"/>
    <mergeCell ref="U6:Y6"/>
    <mergeCell ref="K6:O6"/>
    <mergeCell ref="P6:T6"/>
    <mergeCell ref="C6:C7"/>
    <mergeCell ref="A6:A7"/>
    <mergeCell ref="B6:B7"/>
    <mergeCell ref="G6:G7"/>
    <mergeCell ref="H6:H7"/>
    <mergeCell ref="D6:D7"/>
    <mergeCell ref="E6:E7"/>
  </mergeCells>
  <conditionalFormatting sqref="J9:J13 J15:J18 J20:J24 J26:J29">
    <cfRule type="colorScale" priority="1">
      <colorScale>
        <cfvo type="percent" val="0"/>
        <cfvo type="percent" val="100"/>
        <color rgb="FFFFFFFF"/>
        <color rgb="FF5CBCD6"/>
      </colorScale>
    </cfRule>
  </conditionalFormatting>
  <dataValidations count="1">
    <dataValidation type="custom" allowBlank="1" showDropDown="1" sqref="C9:C13 E9:E13 E15:E18 E20:E24 C26:C29 E26:E29" xr:uid="{00000000-0002-0000-0000-000000000000}">
      <formula1>OR(NOT(ISERROR(DATEVALUE(C9))), AND(ISNUMBER(C9), LEFT(CELL("format", C9))="D"))</formula1>
    </dataValidation>
  </dataValidations>
  <pageMargins left="0.7" right="0.7" top="0.75" bottom="0.75" header="0.3" footer="0.3"/>
  <pageSetup orientation="portrait" r:id="rId1"/>
  <headerFooter>
    <oddHeader>&amp;L&amp;G</oddHeader>
  </headerFooter>
  <drawing r:id="rId2"/>
  <legacyDrawingHF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H233"/>
  <sheetViews>
    <sheetView showGridLines="0" tabSelected="1" topLeftCell="A141" zoomScale="40" zoomScaleNormal="40" workbookViewId="0">
      <selection activeCell="L163" sqref="L163"/>
    </sheetView>
  </sheetViews>
  <sheetFormatPr defaultColWidth="14.44140625" defaultRowHeight="15.75" customHeight="1"/>
  <cols>
    <col min="1" max="1" width="113.44140625" customWidth="1"/>
    <col min="2" max="2" width="191.77734375" customWidth="1"/>
    <col min="3" max="3" width="33.109375" style="111" customWidth="1"/>
    <col min="4" max="4" width="30.44140625" style="111" customWidth="1"/>
    <col min="5" max="5" width="30.6640625" customWidth="1"/>
    <col min="6" max="6" width="29.5546875" customWidth="1"/>
    <col min="7" max="8" width="7.33203125" customWidth="1"/>
    <col min="9" max="10" width="3.6640625" customWidth="1"/>
    <col min="11" max="11" width="6.44140625" customWidth="1"/>
    <col min="12" max="30" width="4.44140625" customWidth="1"/>
    <col min="31" max="32" width="7.33203125" customWidth="1"/>
  </cols>
  <sheetData>
    <row r="1" spans="1:34" ht="15.6" customHeight="1">
      <c r="A1" s="1"/>
      <c r="B1" s="1"/>
      <c r="C1" s="107"/>
      <c r="D1" s="112"/>
      <c r="E1" s="2"/>
      <c r="F1" s="2"/>
      <c r="G1" s="1"/>
      <c r="H1" s="1"/>
      <c r="I1" s="1"/>
      <c r="J1" s="1"/>
      <c r="K1" s="2"/>
      <c r="L1" s="1"/>
      <c r="M1" s="1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</row>
    <row r="2" spans="1:34" ht="15.75" customHeight="1">
      <c r="A2" s="1"/>
      <c r="B2" s="1"/>
      <c r="C2" s="107"/>
      <c r="D2" s="112"/>
      <c r="E2" s="2"/>
      <c r="F2" s="2"/>
      <c r="G2" s="1"/>
      <c r="H2" s="1"/>
      <c r="I2" s="1"/>
      <c r="J2" s="1"/>
      <c r="K2" s="2"/>
      <c r="L2" s="1"/>
      <c r="M2" s="1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</row>
    <row r="3" spans="1:34" s="127" customFormat="1" ht="15.6" customHeight="1">
      <c r="A3" s="1"/>
      <c r="B3" s="1"/>
      <c r="C3" s="107"/>
      <c r="D3" s="112"/>
      <c r="E3" s="2"/>
      <c r="F3" s="2"/>
      <c r="G3" s="1"/>
      <c r="H3" s="1"/>
      <c r="I3" s="1"/>
      <c r="J3" s="1"/>
      <c r="K3" s="2"/>
      <c r="L3" s="1"/>
      <c r="M3" s="1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</row>
    <row r="4" spans="1:34" ht="30" customHeight="1">
      <c r="A4" s="228" t="s">
        <v>178</v>
      </c>
      <c r="B4" s="229"/>
      <c r="C4" s="229"/>
      <c r="D4" s="229"/>
      <c r="E4" s="229"/>
      <c r="F4" s="229"/>
      <c r="G4" s="5"/>
      <c r="H4" s="6"/>
      <c r="I4" s="6"/>
      <c r="J4" s="6"/>
      <c r="K4" s="6"/>
      <c r="L4" s="6"/>
      <c r="M4" s="6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5"/>
      <c r="AF4" s="5"/>
    </row>
    <row r="5" spans="1:34" ht="32.4" customHeight="1">
      <c r="A5" s="90"/>
      <c r="B5" s="137" t="s">
        <v>144</v>
      </c>
      <c r="C5" s="108"/>
      <c r="D5" s="108"/>
      <c r="E5" s="91"/>
      <c r="F5" s="91"/>
      <c r="G5" s="1"/>
      <c r="H5" s="1"/>
      <c r="I5" s="1"/>
      <c r="J5" s="1"/>
      <c r="K5" s="1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</row>
    <row r="6" spans="1:34" s="127" customFormat="1" ht="30.6" customHeight="1">
      <c r="A6" s="230"/>
      <c r="B6" s="231" t="s">
        <v>1</v>
      </c>
      <c r="C6" s="231" t="s">
        <v>76</v>
      </c>
      <c r="D6" s="233" t="s">
        <v>77</v>
      </c>
      <c r="E6" s="231" t="s">
        <v>78</v>
      </c>
      <c r="F6" s="230"/>
      <c r="L6" s="221"/>
      <c r="M6" s="221"/>
      <c r="N6" s="221"/>
      <c r="O6" s="221"/>
      <c r="P6" s="221"/>
      <c r="Q6" s="221"/>
      <c r="R6" s="221"/>
      <c r="S6" s="221"/>
      <c r="T6" s="221"/>
      <c r="U6" s="221"/>
      <c r="V6" s="221"/>
      <c r="W6" s="221"/>
      <c r="X6" s="221"/>
      <c r="Y6" s="221"/>
      <c r="Z6" s="221"/>
      <c r="AA6" s="221"/>
      <c r="AB6" s="221"/>
      <c r="AC6" s="221"/>
      <c r="AD6" s="221"/>
      <c r="AE6" s="221"/>
      <c r="AF6" s="139"/>
    </row>
    <row r="7" spans="1:34" ht="12.6" customHeight="1">
      <c r="A7" s="230"/>
      <c r="B7" s="236"/>
      <c r="C7" s="235"/>
      <c r="D7" s="234"/>
      <c r="E7" s="232"/>
      <c r="F7" s="230"/>
      <c r="G7" s="76"/>
      <c r="H7" s="76"/>
      <c r="I7" s="76"/>
      <c r="J7" s="76"/>
      <c r="K7" s="76"/>
      <c r="L7" s="49"/>
      <c r="M7" s="49"/>
      <c r="N7" s="49"/>
      <c r="O7" s="50"/>
      <c r="P7" s="49"/>
      <c r="Q7" s="49"/>
      <c r="R7" s="49"/>
      <c r="S7" s="49"/>
      <c r="T7" s="50"/>
      <c r="U7" s="49"/>
      <c r="V7" s="49"/>
      <c r="W7" s="49"/>
      <c r="X7" s="49"/>
      <c r="Y7" s="50"/>
      <c r="Z7" s="49"/>
      <c r="AA7" s="49"/>
      <c r="AB7" s="49"/>
      <c r="AC7" s="49"/>
      <c r="AD7" s="50"/>
      <c r="AE7" s="49"/>
      <c r="AF7" s="49"/>
    </row>
    <row r="8" spans="1:34" s="127" customFormat="1" ht="12.6" customHeight="1">
      <c r="A8" s="128"/>
      <c r="B8" s="116"/>
      <c r="C8" s="144"/>
      <c r="D8" s="145"/>
      <c r="E8" s="129"/>
      <c r="F8" s="128"/>
      <c r="G8" s="76"/>
      <c r="H8" s="76"/>
      <c r="I8" s="76"/>
      <c r="J8" s="76"/>
      <c r="K8" s="76"/>
      <c r="L8" s="50"/>
      <c r="M8" s="50"/>
      <c r="N8" s="50"/>
      <c r="O8" s="50"/>
      <c r="P8" s="50"/>
      <c r="Q8" s="50"/>
      <c r="R8" s="50"/>
      <c r="S8" s="50"/>
      <c r="T8" s="50"/>
      <c r="U8" s="50"/>
      <c r="V8" s="50"/>
      <c r="W8" s="50"/>
      <c r="X8" s="50"/>
      <c r="Y8" s="50"/>
      <c r="Z8" s="50"/>
      <c r="AA8" s="50"/>
      <c r="AB8" s="50"/>
      <c r="AC8" s="50"/>
      <c r="AD8" s="50"/>
      <c r="AE8" s="50"/>
      <c r="AF8" s="50"/>
    </row>
    <row r="9" spans="1:34" s="140" customFormat="1" ht="42.6" customHeight="1">
      <c r="A9" s="128"/>
      <c r="B9" s="168" t="s">
        <v>145</v>
      </c>
      <c r="C9" s="142">
        <v>43892</v>
      </c>
      <c r="D9" s="142">
        <v>44014</v>
      </c>
      <c r="E9" s="141" t="s">
        <v>167</v>
      </c>
      <c r="F9" s="128"/>
      <c r="G9" s="130"/>
      <c r="H9" s="130"/>
      <c r="I9" s="130"/>
      <c r="J9" s="130"/>
      <c r="K9" s="130"/>
      <c r="L9" s="130"/>
      <c r="M9" s="130"/>
      <c r="N9" s="130"/>
      <c r="O9" s="130"/>
      <c r="P9" s="130"/>
      <c r="Q9" s="130"/>
      <c r="R9" s="130"/>
      <c r="S9" s="130"/>
      <c r="T9" s="130"/>
      <c r="U9" s="130"/>
      <c r="V9" s="130"/>
      <c r="W9" s="130"/>
      <c r="X9" s="130"/>
      <c r="Y9" s="130"/>
      <c r="Z9" s="130"/>
      <c r="AA9" s="130"/>
      <c r="AB9" s="130"/>
      <c r="AC9" s="130"/>
      <c r="AD9" s="130"/>
      <c r="AE9" s="130"/>
      <c r="AF9" s="130"/>
      <c r="AG9" s="130"/>
      <c r="AH9" s="130"/>
    </row>
    <row r="10" spans="1:34" ht="8.4" customHeight="1">
      <c r="A10" s="129"/>
      <c r="B10" s="89"/>
      <c r="C10" s="96"/>
      <c r="D10" s="97"/>
      <c r="E10" s="98"/>
      <c r="F10" s="128"/>
      <c r="G10" s="77"/>
      <c r="H10" s="77"/>
      <c r="I10" s="77"/>
      <c r="J10" s="77"/>
      <c r="K10" s="77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130"/>
      <c r="AE10" s="130"/>
      <c r="AF10" s="130"/>
      <c r="AG10" s="130"/>
      <c r="AH10" s="130"/>
    </row>
    <row r="11" spans="1:34" ht="26.4" customHeight="1">
      <c r="A11" s="129"/>
      <c r="B11" s="89" t="s">
        <v>159</v>
      </c>
      <c r="C11" s="96"/>
      <c r="D11" s="97"/>
      <c r="E11" s="99"/>
      <c r="F11" s="128"/>
      <c r="G11" s="77"/>
      <c r="H11" s="77"/>
      <c r="I11" s="77"/>
      <c r="J11" s="77"/>
      <c r="K11" s="77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130"/>
      <c r="AE11" s="130"/>
      <c r="AF11" s="130"/>
      <c r="AG11" s="130"/>
      <c r="AH11" s="130"/>
    </row>
    <row r="12" spans="1:34" ht="25.8" customHeight="1">
      <c r="A12" s="129" t="s">
        <v>70</v>
      </c>
      <c r="B12" s="89" t="s">
        <v>166</v>
      </c>
      <c r="C12" s="96"/>
      <c r="D12" s="97"/>
      <c r="E12" s="99"/>
      <c r="F12" s="128"/>
      <c r="G12" s="78"/>
      <c r="H12" s="78"/>
      <c r="I12" s="78"/>
      <c r="J12" s="78"/>
      <c r="K12" s="78"/>
      <c r="AD12" s="130"/>
      <c r="AE12" s="130"/>
      <c r="AF12" s="130"/>
      <c r="AG12" s="130"/>
      <c r="AH12" s="130"/>
    </row>
    <row r="13" spans="1:34" s="127" customFormat="1" ht="25.8" customHeight="1">
      <c r="A13" s="129"/>
      <c r="B13" s="89" t="s">
        <v>147</v>
      </c>
      <c r="C13" s="96"/>
      <c r="D13" s="97"/>
      <c r="E13" s="99"/>
      <c r="F13" s="128"/>
      <c r="G13" s="80"/>
      <c r="H13" s="80"/>
      <c r="I13" s="80"/>
      <c r="J13" s="80"/>
      <c r="K13" s="80"/>
      <c r="AD13" s="130"/>
      <c r="AE13" s="130"/>
      <c r="AF13" s="130"/>
      <c r="AG13" s="130"/>
      <c r="AH13" s="130"/>
    </row>
    <row r="14" spans="1:34" s="127" customFormat="1" ht="13.2" customHeight="1">
      <c r="A14" s="129"/>
      <c r="B14" s="89"/>
      <c r="C14" s="96"/>
      <c r="D14" s="97"/>
      <c r="E14" s="99"/>
      <c r="F14" s="128"/>
      <c r="G14" s="80"/>
      <c r="H14" s="80"/>
      <c r="I14" s="80"/>
      <c r="J14" s="80"/>
      <c r="K14" s="80"/>
      <c r="AD14" s="130"/>
      <c r="AE14" s="130"/>
      <c r="AF14" s="130"/>
      <c r="AG14" s="130"/>
      <c r="AH14" s="130"/>
    </row>
    <row r="15" spans="1:34" s="140" customFormat="1" ht="45.6" customHeight="1">
      <c r="A15" s="128"/>
      <c r="B15" s="169" t="s">
        <v>146</v>
      </c>
      <c r="C15" s="156">
        <v>44106</v>
      </c>
      <c r="D15" s="155" t="s">
        <v>175</v>
      </c>
      <c r="E15" s="157" t="s">
        <v>176</v>
      </c>
      <c r="F15" s="128"/>
      <c r="G15" s="130"/>
      <c r="H15" s="130"/>
      <c r="I15" s="130"/>
      <c r="J15" s="130"/>
      <c r="K15" s="130"/>
      <c r="L15" s="130"/>
      <c r="M15" s="130"/>
      <c r="N15" s="130"/>
      <c r="O15" s="130"/>
      <c r="P15" s="130"/>
      <c r="Q15" s="130"/>
      <c r="R15" s="130"/>
      <c r="S15" s="130"/>
      <c r="T15" s="130"/>
      <c r="U15" s="130"/>
      <c r="V15" s="130"/>
      <c r="W15" s="130"/>
      <c r="X15" s="130"/>
      <c r="Y15" s="130"/>
      <c r="Z15" s="130"/>
      <c r="AA15" s="130"/>
      <c r="AB15" s="130"/>
      <c r="AC15" s="130"/>
      <c r="AD15" s="130"/>
      <c r="AE15" s="130"/>
      <c r="AF15" s="130"/>
      <c r="AG15" s="130"/>
      <c r="AH15" s="130"/>
    </row>
    <row r="16" spans="1:34" s="130" customFormat="1" ht="16.8" customHeight="1">
      <c r="A16" s="128"/>
      <c r="B16" s="128"/>
      <c r="C16" s="116"/>
      <c r="D16" s="116"/>
      <c r="E16" s="128"/>
      <c r="F16" s="128"/>
    </row>
    <row r="17" spans="1:34" s="143" customFormat="1" ht="23.4">
      <c r="A17" s="128"/>
      <c r="B17" s="170" t="s">
        <v>153</v>
      </c>
      <c r="C17" s="158">
        <v>44106</v>
      </c>
      <c r="D17" s="158" t="s">
        <v>119</v>
      </c>
      <c r="E17" s="159" t="s">
        <v>118</v>
      </c>
      <c r="F17" s="128"/>
      <c r="G17" s="130"/>
      <c r="H17" s="130"/>
      <c r="I17" s="130"/>
      <c r="J17" s="130"/>
      <c r="K17" s="130"/>
      <c r="L17" s="130"/>
      <c r="M17" s="130"/>
      <c r="N17" s="130"/>
      <c r="O17" s="130"/>
      <c r="P17" s="130"/>
      <c r="Q17" s="130"/>
      <c r="R17" s="130"/>
      <c r="S17" s="130"/>
      <c r="T17" s="130"/>
      <c r="U17" s="130"/>
      <c r="V17" s="130"/>
      <c r="W17" s="130"/>
      <c r="X17" s="130"/>
      <c r="Y17" s="130"/>
      <c r="Z17" s="130"/>
      <c r="AA17" s="130"/>
      <c r="AB17" s="130"/>
      <c r="AC17" s="130"/>
      <c r="AD17" s="130"/>
      <c r="AE17" s="130"/>
      <c r="AF17" s="130"/>
      <c r="AG17" s="130"/>
      <c r="AH17" s="130"/>
    </row>
    <row r="18" spans="1:34" s="127" customFormat="1" ht="15.6" customHeight="1">
      <c r="A18" s="129"/>
      <c r="B18" s="95"/>
      <c r="C18" s="144"/>
      <c r="D18" s="145"/>
      <c r="E18" s="116"/>
      <c r="F18" s="128"/>
      <c r="AD18" s="130"/>
      <c r="AE18" s="130"/>
      <c r="AF18" s="130"/>
      <c r="AG18" s="130"/>
      <c r="AH18" s="130"/>
    </row>
    <row r="19" spans="1:34" s="127" customFormat="1" ht="31.2" customHeight="1">
      <c r="A19" s="129"/>
      <c r="B19" s="114" t="s">
        <v>174</v>
      </c>
      <c r="C19" s="160"/>
      <c r="D19" s="161"/>
      <c r="E19" s="162"/>
      <c r="F19" s="128"/>
      <c r="G19" s="77"/>
      <c r="H19" s="77"/>
      <c r="I19" s="77"/>
      <c r="J19" s="77"/>
      <c r="K19" s="77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130"/>
      <c r="AE19" s="130"/>
      <c r="AF19" s="130"/>
      <c r="AG19" s="130"/>
      <c r="AH19" s="130"/>
    </row>
    <row r="20" spans="1:34" s="127" customFormat="1" ht="25.2" customHeight="1">
      <c r="A20" s="129"/>
      <c r="B20" s="114" t="s">
        <v>148</v>
      </c>
      <c r="C20" s="160"/>
      <c r="D20" s="161"/>
      <c r="E20" s="162"/>
      <c r="F20" s="128"/>
      <c r="G20" s="77"/>
      <c r="H20" s="77"/>
      <c r="I20" s="77"/>
      <c r="J20" s="77"/>
      <c r="K20" s="77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130"/>
      <c r="AE20" s="130"/>
      <c r="AF20" s="130"/>
      <c r="AG20" s="130"/>
      <c r="AH20" s="130"/>
    </row>
    <row r="21" spans="1:34" s="127" customFormat="1" ht="30" customHeight="1">
      <c r="A21" s="129"/>
      <c r="B21" s="114" t="s">
        <v>81</v>
      </c>
      <c r="C21" s="160"/>
      <c r="D21" s="161"/>
      <c r="E21" s="162"/>
      <c r="F21" s="128"/>
      <c r="G21" s="77"/>
      <c r="H21" s="77"/>
      <c r="I21" s="77"/>
      <c r="J21" s="77"/>
      <c r="K21" s="77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130"/>
      <c r="AE21" s="130"/>
      <c r="AF21" s="130"/>
      <c r="AG21" s="130"/>
      <c r="AH21" s="130"/>
    </row>
    <row r="22" spans="1:34" s="127" customFormat="1" ht="25.2" customHeight="1">
      <c r="A22" s="129"/>
      <c r="B22" s="114" t="s">
        <v>116</v>
      </c>
      <c r="C22" s="160"/>
      <c r="D22" s="161"/>
      <c r="E22" s="162"/>
      <c r="F22" s="128"/>
      <c r="G22" s="77"/>
      <c r="H22" s="77"/>
      <c r="I22" s="77"/>
      <c r="J22" s="77"/>
      <c r="K22" s="77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130"/>
      <c r="AE22" s="130"/>
      <c r="AF22" s="130"/>
      <c r="AG22" s="130"/>
      <c r="AH22" s="130"/>
    </row>
    <row r="23" spans="1:34" s="127" customFormat="1" ht="33" customHeight="1">
      <c r="A23" s="129"/>
      <c r="B23" s="114" t="s">
        <v>156</v>
      </c>
      <c r="C23" s="160"/>
      <c r="D23" s="161"/>
      <c r="E23" s="162"/>
      <c r="F23" s="128"/>
      <c r="G23" s="77"/>
      <c r="H23" s="77"/>
      <c r="I23" s="77"/>
      <c r="J23" s="77"/>
      <c r="K23" s="77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130"/>
      <c r="AE23" s="130"/>
      <c r="AF23" s="130"/>
      <c r="AG23" s="130"/>
      <c r="AH23" s="130"/>
    </row>
    <row r="24" spans="1:34" s="127" customFormat="1" ht="25.2" customHeight="1">
      <c r="A24" s="129"/>
      <c r="B24" s="114" t="s">
        <v>158</v>
      </c>
      <c r="C24" s="160"/>
      <c r="D24" s="161"/>
      <c r="E24" s="162"/>
      <c r="F24" s="128"/>
      <c r="G24" s="77"/>
      <c r="H24" s="77"/>
      <c r="I24" s="77"/>
      <c r="J24" s="77"/>
      <c r="K24" s="77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130"/>
      <c r="AE24" s="130"/>
      <c r="AF24" s="130"/>
      <c r="AG24" s="130"/>
      <c r="AH24" s="130"/>
    </row>
    <row r="25" spans="1:34" s="127" customFormat="1" ht="26.4" customHeight="1">
      <c r="A25" s="129"/>
      <c r="B25" s="114" t="s">
        <v>149</v>
      </c>
      <c r="C25" s="160"/>
      <c r="D25" s="161"/>
      <c r="E25" s="163"/>
      <c r="F25" s="128"/>
      <c r="G25" s="77"/>
      <c r="H25" s="77"/>
      <c r="I25" s="77"/>
      <c r="J25" s="77"/>
      <c r="K25" s="77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130"/>
      <c r="AE25" s="130"/>
      <c r="AF25" s="130"/>
      <c r="AG25" s="130"/>
      <c r="AH25" s="130"/>
    </row>
    <row r="26" spans="1:34" s="127" customFormat="1" ht="25.8" customHeight="1">
      <c r="A26" s="129" t="s">
        <v>70</v>
      </c>
      <c r="B26" s="114" t="s">
        <v>150</v>
      </c>
      <c r="C26" s="160"/>
      <c r="D26" s="161"/>
      <c r="E26" s="163"/>
      <c r="F26" s="128"/>
      <c r="G26" s="80"/>
      <c r="H26" s="80"/>
      <c r="I26" s="80"/>
      <c r="J26" s="80"/>
      <c r="K26" s="80"/>
      <c r="AD26" s="130"/>
      <c r="AE26" s="130"/>
      <c r="AF26" s="130"/>
      <c r="AG26" s="130"/>
      <c r="AH26" s="130"/>
    </row>
    <row r="27" spans="1:34" s="120" customFormat="1" ht="18" customHeight="1">
      <c r="A27" s="129"/>
      <c r="B27" s="89"/>
      <c r="C27" s="160"/>
      <c r="D27" s="161"/>
      <c r="E27" s="163"/>
      <c r="F27" s="128"/>
      <c r="G27" s="80"/>
      <c r="H27" s="80"/>
      <c r="I27" s="80"/>
      <c r="J27" s="80"/>
      <c r="K27" s="80"/>
      <c r="AD27" s="130"/>
      <c r="AE27" s="130"/>
      <c r="AF27" s="130"/>
      <c r="AG27" s="130"/>
      <c r="AH27" s="130"/>
    </row>
    <row r="28" spans="1:34" s="154" customFormat="1" ht="40.200000000000003" customHeight="1">
      <c r="A28" s="116"/>
      <c r="B28" s="171" t="s">
        <v>154</v>
      </c>
      <c r="C28" s="158" t="s">
        <v>168</v>
      </c>
      <c r="D28" s="158" t="s">
        <v>169</v>
      </c>
      <c r="E28" s="159" t="s">
        <v>120</v>
      </c>
      <c r="F28" s="116"/>
      <c r="G28" s="118"/>
      <c r="H28" s="118"/>
      <c r="I28" s="118"/>
      <c r="J28" s="118"/>
      <c r="K28" s="118"/>
      <c r="L28" s="118"/>
      <c r="M28" s="118"/>
      <c r="N28" s="118"/>
      <c r="O28" s="118"/>
      <c r="P28" s="118"/>
      <c r="Q28" s="118"/>
      <c r="R28" s="118"/>
      <c r="S28" s="118"/>
      <c r="T28" s="118"/>
      <c r="U28" s="118"/>
      <c r="V28" s="118"/>
      <c r="W28" s="118"/>
      <c r="X28" s="118"/>
      <c r="Y28" s="118"/>
      <c r="Z28" s="118"/>
      <c r="AA28" s="118"/>
      <c r="AB28" s="118"/>
      <c r="AC28" s="118"/>
      <c r="AD28" s="130"/>
      <c r="AE28" s="130"/>
      <c r="AF28" s="130"/>
      <c r="AG28" s="130"/>
      <c r="AH28" s="130"/>
    </row>
    <row r="29" spans="1:34" ht="13.2" customHeight="1">
      <c r="A29" s="129"/>
      <c r="B29" s="95"/>
      <c r="C29" s="145"/>
      <c r="D29" s="145"/>
      <c r="E29" s="116"/>
      <c r="F29" s="128"/>
      <c r="G29" s="130"/>
      <c r="H29" s="130"/>
      <c r="I29" s="130"/>
      <c r="J29" s="130"/>
      <c r="K29" s="130"/>
      <c r="L29" s="130"/>
      <c r="M29" s="130"/>
      <c r="N29" s="130"/>
      <c r="O29" s="130"/>
      <c r="P29" s="130"/>
      <c r="Q29" s="130"/>
      <c r="R29" s="130"/>
      <c r="S29" s="130"/>
      <c r="T29" s="130"/>
      <c r="U29" s="130"/>
      <c r="V29" s="130"/>
      <c r="W29" s="130"/>
      <c r="X29" s="130"/>
      <c r="Y29" s="130"/>
      <c r="Z29" s="130"/>
      <c r="AA29" s="130"/>
      <c r="AB29" s="130"/>
      <c r="AC29" s="130"/>
      <c r="AD29" s="130"/>
      <c r="AE29" s="130"/>
      <c r="AF29" s="130"/>
      <c r="AG29" s="130"/>
      <c r="AH29" s="130"/>
    </row>
    <row r="30" spans="1:34" ht="26.4" customHeight="1">
      <c r="A30" s="129"/>
      <c r="B30" s="89" t="s">
        <v>71</v>
      </c>
      <c r="C30" s="160"/>
      <c r="D30" s="161"/>
      <c r="E30" s="163"/>
      <c r="F30" s="128"/>
      <c r="G30" s="78"/>
      <c r="H30" s="78"/>
      <c r="I30" s="78"/>
      <c r="J30" s="78"/>
      <c r="K30" s="78"/>
      <c r="AD30" s="130"/>
      <c r="AE30" s="130"/>
      <c r="AF30" s="130"/>
      <c r="AG30" s="130"/>
      <c r="AH30" s="130"/>
    </row>
    <row r="31" spans="1:34" ht="24.6" customHeight="1">
      <c r="A31" s="129"/>
      <c r="B31" s="89" t="s">
        <v>72</v>
      </c>
      <c r="C31" s="160"/>
      <c r="D31" s="161"/>
      <c r="E31" s="163"/>
      <c r="F31" s="128"/>
      <c r="G31" s="78"/>
      <c r="H31" s="78"/>
      <c r="I31" s="78"/>
      <c r="J31" s="78"/>
      <c r="K31" s="78"/>
      <c r="AD31" s="130"/>
      <c r="AE31" s="130"/>
      <c r="AF31" s="130"/>
      <c r="AG31" s="130"/>
      <c r="AH31" s="130"/>
    </row>
    <row r="32" spans="1:34" ht="25.8" customHeight="1">
      <c r="A32" s="129"/>
      <c r="B32" s="89" t="s">
        <v>84</v>
      </c>
      <c r="C32" s="160"/>
      <c r="D32" s="161"/>
      <c r="E32" s="163"/>
      <c r="F32" s="128"/>
      <c r="G32" s="78"/>
      <c r="H32" s="78"/>
      <c r="I32" s="78"/>
      <c r="J32" s="78"/>
      <c r="K32" s="78"/>
      <c r="AD32" s="130"/>
      <c r="AE32" s="130"/>
      <c r="AF32" s="130"/>
      <c r="AG32" s="130"/>
      <c r="AH32" s="130"/>
    </row>
    <row r="33" spans="1:34" s="127" customFormat="1" ht="16.8" customHeight="1">
      <c r="A33" s="129"/>
      <c r="B33" s="89"/>
      <c r="C33" s="160"/>
      <c r="D33" s="161"/>
      <c r="E33" s="163"/>
      <c r="F33" s="128"/>
      <c r="G33" s="80"/>
      <c r="H33" s="80"/>
      <c r="I33" s="80"/>
      <c r="J33" s="80"/>
      <c r="K33" s="80"/>
      <c r="AD33" s="130"/>
      <c r="AE33" s="130"/>
      <c r="AF33" s="130"/>
      <c r="AG33" s="130"/>
      <c r="AH33" s="130"/>
    </row>
    <row r="34" spans="1:34" s="143" customFormat="1" ht="33.6" customHeight="1">
      <c r="A34" s="128"/>
      <c r="B34" s="172" t="s">
        <v>155</v>
      </c>
      <c r="C34" s="164" t="s">
        <v>170</v>
      </c>
      <c r="D34" s="164" t="s">
        <v>151</v>
      </c>
      <c r="E34" s="165" t="s">
        <v>152</v>
      </c>
      <c r="F34" s="128"/>
      <c r="G34" s="130"/>
      <c r="H34" s="130"/>
      <c r="I34" s="130"/>
      <c r="J34" s="130"/>
      <c r="K34" s="130"/>
      <c r="L34" s="130"/>
      <c r="M34" s="130"/>
      <c r="N34" s="130"/>
      <c r="O34" s="130"/>
      <c r="P34" s="130"/>
      <c r="Q34" s="130"/>
      <c r="R34" s="130"/>
      <c r="S34" s="130"/>
      <c r="T34" s="130"/>
      <c r="U34" s="130"/>
      <c r="V34" s="130"/>
      <c r="W34" s="130"/>
      <c r="X34" s="130"/>
      <c r="Y34" s="130"/>
      <c r="Z34" s="130"/>
      <c r="AA34" s="130"/>
      <c r="AB34" s="130"/>
      <c r="AC34" s="130"/>
      <c r="AD34" s="130"/>
      <c r="AE34" s="130"/>
      <c r="AF34" s="130"/>
      <c r="AG34" s="130"/>
      <c r="AH34" s="130"/>
    </row>
    <row r="35" spans="1:34" s="127" customFormat="1" ht="16.2" customHeight="1">
      <c r="A35" s="129"/>
      <c r="B35" s="128"/>
      <c r="C35" s="160"/>
      <c r="D35" s="97"/>
      <c r="E35" s="99"/>
      <c r="F35" s="128"/>
      <c r="G35" s="130"/>
      <c r="H35" s="130"/>
      <c r="I35" s="130"/>
      <c r="J35" s="130"/>
      <c r="K35" s="130"/>
      <c r="L35" s="130"/>
      <c r="M35" s="130"/>
      <c r="N35" s="130"/>
      <c r="O35" s="130"/>
      <c r="P35" s="130"/>
      <c r="Q35" s="130"/>
      <c r="R35" s="130"/>
      <c r="S35" s="130"/>
      <c r="T35" s="130"/>
      <c r="U35" s="130"/>
      <c r="V35" s="130"/>
      <c r="W35" s="130"/>
      <c r="X35" s="130"/>
      <c r="Y35" s="130"/>
      <c r="Z35" s="130"/>
      <c r="AA35" s="130"/>
      <c r="AB35" s="130"/>
      <c r="AC35" s="130"/>
      <c r="AD35" s="130"/>
      <c r="AE35" s="130"/>
      <c r="AF35" s="130"/>
      <c r="AG35" s="130"/>
      <c r="AH35" s="130"/>
    </row>
    <row r="36" spans="1:34" ht="26.4" customHeight="1">
      <c r="A36" s="128"/>
      <c r="B36" s="92" t="s">
        <v>165</v>
      </c>
      <c r="C36" s="93" t="s">
        <v>171</v>
      </c>
      <c r="D36" s="93">
        <v>43954</v>
      </c>
      <c r="E36" s="100" t="s">
        <v>100</v>
      </c>
      <c r="F36" s="128"/>
      <c r="G36" s="78"/>
      <c r="H36" s="78"/>
      <c r="I36" s="78"/>
      <c r="J36" s="78"/>
      <c r="K36" s="78"/>
    </row>
    <row r="37" spans="1:34" s="72" customFormat="1" ht="13.8" customHeight="1">
      <c r="A37" s="128"/>
      <c r="B37" s="95"/>
      <c r="C37" s="131"/>
      <c r="D37" s="131"/>
      <c r="E37" s="129"/>
      <c r="F37" s="128"/>
      <c r="G37" s="78"/>
      <c r="H37" s="78"/>
      <c r="I37" s="78"/>
      <c r="J37" s="78"/>
      <c r="K37" s="78"/>
    </row>
    <row r="38" spans="1:34" ht="24" customHeight="1">
      <c r="A38" s="129"/>
      <c r="B38" s="114" t="s">
        <v>117</v>
      </c>
      <c r="C38" s="96"/>
      <c r="D38" s="97"/>
      <c r="E38" s="99"/>
      <c r="F38" s="128"/>
      <c r="G38" s="78"/>
      <c r="H38" s="78"/>
      <c r="I38" s="78"/>
      <c r="J38" s="78"/>
      <c r="K38" s="78"/>
    </row>
    <row r="39" spans="1:34" ht="25.2" customHeight="1">
      <c r="A39" s="129"/>
      <c r="B39" s="114" t="s">
        <v>82</v>
      </c>
      <c r="C39" s="96"/>
      <c r="D39" s="97"/>
      <c r="E39" s="99"/>
      <c r="F39" s="128"/>
      <c r="G39" s="78"/>
      <c r="H39" s="78"/>
      <c r="I39" s="78"/>
      <c r="J39" s="78"/>
      <c r="K39" s="78"/>
    </row>
    <row r="40" spans="1:34" s="79" customFormat="1" ht="32.4" customHeight="1">
      <c r="A40" s="129"/>
      <c r="B40" s="114" t="s">
        <v>85</v>
      </c>
      <c r="C40" s="96"/>
      <c r="D40" s="97"/>
      <c r="E40" s="99"/>
      <c r="F40" s="128"/>
      <c r="G40" s="80"/>
      <c r="H40" s="80"/>
      <c r="I40" s="80"/>
      <c r="J40" s="80"/>
      <c r="K40" s="80"/>
    </row>
    <row r="41" spans="1:34" s="79" customFormat="1" ht="24" customHeight="1">
      <c r="A41" s="129"/>
      <c r="B41" s="114" t="s">
        <v>86</v>
      </c>
      <c r="C41" s="96"/>
      <c r="D41" s="97"/>
      <c r="E41" s="99"/>
      <c r="F41" s="128"/>
      <c r="G41" s="80"/>
      <c r="H41" s="80"/>
      <c r="I41" s="80"/>
      <c r="J41" s="80"/>
      <c r="K41" s="80"/>
    </row>
    <row r="42" spans="1:34" s="72" customFormat="1" ht="28.8" customHeight="1">
      <c r="A42" s="129"/>
      <c r="B42" s="114" t="s">
        <v>79</v>
      </c>
      <c r="C42" s="96"/>
      <c r="D42" s="97"/>
      <c r="E42" s="99"/>
      <c r="F42" s="128"/>
      <c r="G42" s="78"/>
      <c r="H42" s="78"/>
      <c r="I42" s="78"/>
      <c r="J42" s="78"/>
      <c r="K42" s="78"/>
    </row>
    <row r="43" spans="1:34" s="127" customFormat="1" ht="15" customHeight="1">
      <c r="A43" s="129"/>
      <c r="B43" s="114"/>
      <c r="C43" s="96"/>
      <c r="D43" s="97"/>
      <c r="E43" s="99"/>
      <c r="F43" s="128"/>
      <c r="G43" s="80"/>
      <c r="H43" s="80"/>
      <c r="I43" s="80"/>
      <c r="J43" s="80"/>
      <c r="K43" s="80"/>
    </row>
    <row r="44" spans="1:34" ht="24" customHeight="1">
      <c r="A44" s="101"/>
      <c r="B44" s="92" t="s">
        <v>164</v>
      </c>
      <c r="C44" s="93">
        <v>43985</v>
      </c>
      <c r="D44" s="93">
        <v>44168</v>
      </c>
      <c r="E44" s="94" t="s">
        <v>100</v>
      </c>
      <c r="F44" s="128"/>
      <c r="G44" s="78"/>
      <c r="H44" s="78"/>
      <c r="I44" s="78"/>
      <c r="J44" s="78"/>
      <c r="K44" s="78"/>
    </row>
    <row r="45" spans="1:34" ht="15.6" customHeight="1">
      <c r="A45" s="101"/>
      <c r="B45" s="95"/>
      <c r="C45" s="109"/>
      <c r="D45" s="109"/>
      <c r="E45" s="101"/>
      <c r="F45" s="128"/>
      <c r="G45" s="78"/>
      <c r="H45" s="78"/>
      <c r="I45" s="78"/>
      <c r="J45" s="78"/>
      <c r="K45" s="78"/>
    </row>
    <row r="46" spans="1:34" s="86" customFormat="1" ht="23.4" customHeight="1">
      <c r="A46" s="101"/>
      <c r="B46" s="95" t="s">
        <v>87</v>
      </c>
      <c r="C46" s="109"/>
      <c r="D46" s="109"/>
      <c r="E46" s="101"/>
      <c r="F46" s="128"/>
      <c r="G46" s="80"/>
      <c r="H46" s="80"/>
      <c r="I46" s="80"/>
      <c r="J46" s="80"/>
      <c r="K46" s="80"/>
    </row>
    <row r="47" spans="1:34" s="88" customFormat="1" ht="23.4" customHeight="1">
      <c r="A47" s="101"/>
      <c r="B47" s="95" t="s">
        <v>121</v>
      </c>
      <c r="C47" s="109"/>
      <c r="D47" s="109"/>
      <c r="E47" s="101"/>
      <c r="F47" s="128"/>
      <c r="G47" s="80"/>
      <c r="H47" s="80"/>
      <c r="I47" s="80"/>
      <c r="J47" s="80"/>
      <c r="K47" s="80"/>
    </row>
    <row r="48" spans="1:34" s="81" customFormat="1" ht="25.2" customHeight="1">
      <c r="A48" s="101"/>
      <c r="B48" s="95" t="s">
        <v>122</v>
      </c>
      <c r="C48" s="109"/>
      <c r="D48" s="109"/>
      <c r="E48" s="101"/>
      <c r="F48" s="128"/>
      <c r="G48" s="80"/>
      <c r="H48" s="80"/>
      <c r="I48" s="80"/>
      <c r="J48" s="80"/>
      <c r="K48" s="80"/>
    </row>
    <row r="49" spans="1:34" s="79" customFormat="1" ht="24.6" customHeight="1">
      <c r="A49" s="101"/>
      <c r="B49" s="95" t="s">
        <v>123</v>
      </c>
      <c r="C49" s="109"/>
      <c r="D49" s="109"/>
      <c r="E49" s="101"/>
      <c r="F49" s="128"/>
      <c r="G49" s="80"/>
      <c r="H49" s="80"/>
      <c r="I49" s="80"/>
      <c r="J49" s="80"/>
      <c r="K49" s="80"/>
    </row>
    <row r="50" spans="1:34" s="75" customFormat="1" ht="24.6" customHeight="1">
      <c r="A50" s="101"/>
      <c r="B50" s="89" t="s">
        <v>79</v>
      </c>
      <c r="C50" s="109"/>
      <c r="D50" s="109"/>
      <c r="E50" s="101"/>
      <c r="F50" s="128"/>
      <c r="G50" s="78"/>
      <c r="H50" s="78"/>
      <c r="I50" s="78"/>
      <c r="J50" s="78"/>
      <c r="K50" s="78"/>
    </row>
    <row r="51" spans="1:34" s="86" customFormat="1" ht="8.4" customHeight="1">
      <c r="A51" s="101"/>
      <c r="B51" s="89"/>
      <c r="C51" s="109"/>
      <c r="D51" s="109"/>
      <c r="E51" s="101"/>
      <c r="F51" s="128"/>
      <c r="G51" s="80"/>
      <c r="H51" s="80"/>
      <c r="I51" s="80"/>
      <c r="J51" s="80"/>
      <c r="K51" s="80"/>
    </row>
    <row r="52" spans="1:34" ht="23.4">
      <c r="A52" s="129"/>
      <c r="B52" s="102" t="s">
        <v>163</v>
      </c>
      <c r="C52" s="110" t="s">
        <v>172</v>
      </c>
      <c r="D52" s="110" t="s">
        <v>173</v>
      </c>
      <c r="E52" s="100" t="s">
        <v>100</v>
      </c>
      <c r="F52" s="128"/>
    </row>
    <row r="53" spans="1:34" s="86" customFormat="1" ht="9.6" customHeight="1">
      <c r="A53" s="129"/>
      <c r="B53" s="129"/>
      <c r="C53" s="132"/>
      <c r="D53" s="132"/>
      <c r="E53" s="128"/>
      <c r="F53" s="128"/>
    </row>
    <row r="54" spans="1:34" s="87" customFormat="1" ht="23.4">
      <c r="A54" s="128"/>
      <c r="B54" s="129" t="s">
        <v>89</v>
      </c>
      <c r="C54" s="132"/>
      <c r="D54" s="132"/>
      <c r="E54" s="128"/>
      <c r="F54" s="128"/>
    </row>
    <row r="55" spans="1:34" ht="23.4">
      <c r="A55" s="129"/>
      <c r="B55" s="95" t="s">
        <v>127</v>
      </c>
      <c r="C55" s="132"/>
      <c r="D55" s="132"/>
      <c r="E55" s="129"/>
      <c r="F55" s="128"/>
    </row>
    <row r="56" spans="1:34" ht="25.8" customHeight="1">
      <c r="A56" s="129"/>
      <c r="B56" s="95" t="s">
        <v>128</v>
      </c>
      <c r="C56" s="132"/>
      <c r="D56" s="132"/>
      <c r="E56" s="129"/>
      <c r="F56" s="128"/>
    </row>
    <row r="57" spans="1:34" ht="24" customHeight="1">
      <c r="A57" s="129"/>
      <c r="B57" s="95" t="s">
        <v>79</v>
      </c>
      <c r="C57" s="132"/>
      <c r="D57" s="132"/>
      <c r="E57" s="129"/>
      <c r="F57" s="128"/>
    </row>
    <row r="58" spans="1:34" s="120" customFormat="1" ht="24" customHeight="1">
      <c r="A58" s="129"/>
      <c r="B58" s="95"/>
      <c r="C58" s="132"/>
      <c r="D58" s="132"/>
      <c r="E58" s="129"/>
      <c r="F58" s="128"/>
    </row>
    <row r="59" spans="1:34" s="86" customFormat="1" ht="37.200000000000003" customHeight="1">
      <c r="A59" s="129"/>
      <c r="B59" s="173" t="s">
        <v>183</v>
      </c>
      <c r="C59" s="166"/>
      <c r="D59" s="166"/>
      <c r="E59" s="167"/>
      <c r="F59" s="128"/>
    </row>
    <row r="60" spans="1:34" s="82" customFormat="1" ht="26.4" customHeight="1">
      <c r="A60" s="128"/>
      <c r="B60" s="103" t="s">
        <v>177</v>
      </c>
      <c r="C60" s="110">
        <v>43926</v>
      </c>
      <c r="D60" s="110" t="s">
        <v>101</v>
      </c>
      <c r="E60" s="100" t="s">
        <v>83</v>
      </c>
      <c r="F60" s="128"/>
      <c r="G60" s="83"/>
      <c r="H60" s="83"/>
      <c r="I60" s="83"/>
      <c r="J60" s="83"/>
      <c r="K60" s="83"/>
      <c r="L60" s="83"/>
      <c r="M60" s="83"/>
      <c r="N60" s="83"/>
      <c r="O60" s="83"/>
      <c r="P60" s="83"/>
      <c r="Q60" s="83"/>
      <c r="R60" s="83"/>
      <c r="S60" s="83"/>
      <c r="T60" s="83"/>
      <c r="U60" s="83"/>
      <c r="V60" s="83"/>
      <c r="W60" s="83"/>
      <c r="X60" s="83"/>
      <c r="Y60" s="83"/>
      <c r="Z60" s="83"/>
      <c r="AA60" s="83"/>
      <c r="AB60" s="83"/>
      <c r="AC60" s="83"/>
      <c r="AD60" s="83"/>
      <c r="AE60" s="83"/>
      <c r="AF60" s="83"/>
      <c r="AG60" s="83"/>
      <c r="AH60" s="83"/>
    </row>
    <row r="61" spans="1:34" ht="15.6" customHeight="1">
      <c r="A61" s="129"/>
      <c r="B61" s="95"/>
      <c r="C61" s="132"/>
      <c r="D61" s="132"/>
      <c r="E61" s="129"/>
      <c r="F61" s="128"/>
    </row>
    <row r="62" spans="1:34" s="86" customFormat="1" ht="23.4">
      <c r="A62" s="129"/>
      <c r="B62" s="95" t="s">
        <v>93</v>
      </c>
      <c r="C62" s="132"/>
      <c r="D62" s="132"/>
      <c r="E62" s="129"/>
      <c r="F62" s="128"/>
    </row>
    <row r="63" spans="1:34" ht="26.4" customHeight="1">
      <c r="A63" s="129"/>
      <c r="B63" s="95" t="s">
        <v>88</v>
      </c>
      <c r="C63" s="132"/>
      <c r="D63" s="132"/>
      <c r="E63" s="129"/>
      <c r="F63" s="128"/>
    </row>
    <row r="64" spans="1:34" ht="25.8" customHeight="1">
      <c r="A64" s="129"/>
      <c r="B64" s="95" t="s">
        <v>129</v>
      </c>
      <c r="C64" s="132"/>
      <c r="D64" s="132"/>
      <c r="E64" s="129"/>
      <c r="F64" s="128"/>
    </row>
    <row r="65" spans="1:6" ht="24.6" customHeight="1">
      <c r="A65" s="129"/>
      <c r="B65" s="95" t="s">
        <v>90</v>
      </c>
      <c r="C65" s="132"/>
      <c r="D65" s="132"/>
      <c r="E65" s="129"/>
      <c r="F65" s="128"/>
    </row>
    <row r="66" spans="1:6" ht="24" customHeight="1">
      <c r="A66" s="129"/>
      <c r="B66" s="95" t="s">
        <v>79</v>
      </c>
      <c r="C66" s="132"/>
      <c r="D66" s="132"/>
      <c r="E66" s="129"/>
      <c r="F66" s="128"/>
    </row>
    <row r="67" spans="1:6" ht="24" customHeight="1">
      <c r="A67" s="129"/>
      <c r="B67" s="95" t="s">
        <v>73</v>
      </c>
      <c r="C67" s="132"/>
      <c r="D67" s="132"/>
      <c r="E67" s="129"/>
      <c r="F67" s="128"/>
    </row>
    <row r="68" spans="1:6" s="124" customFormat="1" ht="19.2" customHeight="1">
      <c r="A68" s="129"/>
      <c r="B68" s="95"/>
      <c r="C68" s="132"/>
      <c r="D68" s="132"/>
      <c r="E68" s="129"/>
      <c r="F68" s="128"/>
    </row>
    <row r="69" spans="1:6" s="84" customFormat="1" ht="26.4" customHeight="1">
      <c r="A69" s="104"/>
      <c r="B69" s="103" t="s">
        <v>160</v>
      </c>
      <c r="C69" s="110" t="s">
        <v>102</v>
      </c>
      <c r="D69" s="110" t="s">
        <v>103</v>
      </c>
      <c r="E69" s="100" t="s">
        <v>100</v>
      </c>
      <c r="F69" s="128"/>
    </row>
    <row r="70" spans="1:6" ht="18.600000000000001" customHeight="1">
      <c r="A70" s="129"/>
      <c r="B70" s="95"/>
      <c r="C70" s="132"/>
      <c r="D70" s="132"/>
      <c r="E70" s="129"/>
      <c r="F70" s="128"/>
    </row>
    <row r="71" spans="1:6" s="85" customFormat="1" ht="27.6" customHeight="1">
      <c r="A71" s="129"/>
      <c r="B71" s="95" t="s">
        <v>130</v>
      </c>
      <c r="C71" s="132"/>
      <c r="D71" s="132"/>
      <c r="E71" s="129"/>
      <c r="F71" s="128"/>
    </row>
    <row r="72" spans="1:6" ht="25.2" customHeight="1">
      <c r="A72" s="129"/>
      <c r="B72" s="95" t="s">
        <v>132</v>
      </c>
      <c r="C72" s="132"/>
      <c r="D72" s="132"/>
      <c r="E72" s="129"/>
      <c r="F72" s="128"/>
    </row>
    <row r="73" spans="1:6" ht="24.6" customHeight="1">
      <c r="A73" s="129"/>
      <c r="B73" s="95" t="s">
        <v>131</v>
      </c>
      <c r="C73" s="132"/>
      <c r="D73" s="132"/>
      <c r="E73" s="129"/>
      <c r="F73" s="128"/>
    </row>
    <row r="74" spans="1:6" ht="24" customHeight="1">
      <c r="A74" s="129"/>
      <c r="B74" s="95" t="s">
        <v>80</v>
      </c>
      <c r="C74" s="132"/>
      <c r="D74" s="132"/>
      <c r="E74" s="129"/>
      <c r="F74" s="128"/>
    </row>
    <row r="75" spans="1:6" ht="26.4" customHeight="1">
      <c r="A75" s="129"/>
      <c r="B75" s="95" t="s">
        <v>74</v>
      </c>
      <c r="C75" s="132"/>
      <c r="D75" s="132"/>
      <c r="E75" s="129"/>
      <c r="F75" s="128"/>
    </row>
    <row r="76" spans="1:6" ht="24.6" customHeight="1">
      <c r="A76" s="129"/>
      <c r="B76" s="95" t="s">
        <v>75</v>
      </c>
      <c r="C76" s="132"/>
      <c r="D76" s="132"/>
      <c r="E76" s="129"/>
      <c r="F76" s="128"/>
    </row>
    <row r="77" spans="1:6" s="86" customFormat="1" ht="24.6" customHeight="1">
      <c r="A77" s="129"/>
      <c r="B77" s="95"/>
      <c r="C77" s="132"/>
      <c r="D77" s="132"/>
      <c r="E77" s="129"/>
      <c r="F77" s="128"/>
    </row>
    <row r="78" spans="1:6" s="124" customFormat="1" ht="24.6" customHeight="1">
      <c r="A78" s="129"/>
      <c r="B78" s="115" t="s">
        <v>161</v>
      </c>
      <c r="C78" s="110" t="s">
        <v>137</v>
      </c>
      <c r="D78" s="110">
        <v>43957</v>
      </c>
      <c r="E78" s="100" t="s">
        <v>83</v>
      </c>
      <c r="F78" s="128"/>
    </row>
    <row r="79" spans="1:6" s="124" customFormat="1" ht="24" customHeight="1">
      <c r="A79" s="129"/>
      <c r="B79" s="105" t="s">
        <v>157</v>
      </c>
      <c r="C79" s="132"/>
      <c r="D79" s="132"/>
      <c r="E79" s="129"/>
      <c r="F79" s="128"/>
    </row>
    <row r="80" spans="1:6" s="124" customFormat="1" ht="25.2" customHeight="1">
      <c r="A80" s="129"/>
      <c r="B80" s="105" t="s">
        <v>92</v>
      </c>
      <c r="C80" s="132"/>
      <c r="D80" s="132"/>
      <c r="E80" s="129"/>
      <c r="F80" s="129"/>
    </row>
    <row r="81" spans="1:6" s="124" customFormat="1" ht="25.8" customHeight="1">
      <c r="A81" s="129"/>
      <c r="B81" s="105" t="s">
        <v>96</v>
      </c>
      <c r="C81" s="132"/>
      <c r="D81" s="132"/>
      <c r="E81" s="129"/>
      <c r="F81" s="129"/>
    </row>
    <row r="82" spans="1:6" s="124" customFormat="1" ht="23.4" customHeight="1">
      <c r="A82" s="129"/>
      <c r="B82" s="105" t="s">
        <v>97</v>
      </c>
      <c r="C82" s="132"/>
      <c r="D82" s="132"/>
      <c r="E82" s="129"/>
      <c r="F82" s="129"/>
    </row>
    <row r="83" spans="1:6" s="124" customFormat="1" ht="25.2" customHeight="1">
      <c r="A83" s="129"/>
      <c r="B83" s="105" t="s">
        <v>91</v>
      </c>
      <c r="C83" s="132"/>
      <c r="D83" s="132"/>
      <c r="E83" s="129"/>
      <c r="F83" s="129"/>
    </row>
    <row r="84" spans="1:6" s="124" customFormat="1" ht="25.2" customHeight="1">
      <c r="A84" s="129"/>
      <c r="B84" s="105" t="s">
        <v>98</v>
      </c>
      <c r="C84" s="132"/>
      <c r="D84" s="132"/>
      <c r="E84" s="129"/>
      <c r="F84" s="129"/>
    </row>
    <row r="85" spans="1:6" s="124" customFormat="1" ht="25.2" customHeight="1">
      <c r="A85" s="129"/>
      <c r="B85" s="105"/>
      <c r="C85" s="132"/>
      <c r="D85" s="132"/>
      <c r="E85" s="129"/>
      <c r="F85" s="129"/>
    </row>
    <row r="86" spans="1:6" s="124" customFormat="1" ht="27.6" customHeight="1">
      <c r="A86" s="129"/>
      <c r="B86" s="115" t="s">
        <v>162</v>
      </c>
      <c r="C86" s="110">
        <v>44049</v>
      </c>
      <c r="D86" s="110" t="s">
        <v>108</v>
      </c>
      <c r="E86" s="100" t="s">
        <v>83</v>
      </c>
      <c r="F86" s="128"/>
    </row>
    <row r="87" spans="1:6" s="124" customFormat="1" ht="14.4" customHeight="1">
      <c r="A87" s="129"/>
      <c r="B87" s="129"/>
      <c r="C87" s="132"/>
      <c r="D87" s="132"/>
      <c r="E87" s="128"/>
      <c r="F87" s="128"/>
    </row>
    <row r="88" spans="1:6" s="124" customFormat="1" ht="24" customHeight="1">
      <c r="A88" s="129"/>
      <c r="B88" s="105" t="s">
        <v>138</v>
      </c>
      <c r="C88" s="132"/>
      <c r="D88" s="132"/>
      <c r="E88" s="128"/>
      <c r="F88" s="128"/>
    </row>
    <row r="89" spans="1:6" s="124" customFormat="1" ht="23.4" customHeight="1">
      <c r="A89" s="129"/>
      <c r="B89" s="95" t="s">
        <v>140</v>
      </c>
      <c r="C89" s="132"/>
      <c r="D89" s="132"/>
      <c r="E89" s="128"/>
      <c r="F89" s="128"/>
    </row>
    <row r="90" spans="1:6" s="124" customFormat="1" ht="24.6" customHeight="1">
      <c r="A90" s="129"/>
      <c r="B90" s="105" t="s">
        <v>143</v>
      </c>
      <c r="C90" s="132"/>
      <c r="D90" s="132"/>
      <c r="E90" s="128"/>
      <c r="F90" s="128"/>
    </row>
    <row r="91" spans="1:6" s="124" customFormat="1" ht="25.8" customHeight="1">
      <c r="A91" s="129"/>
      <c r="B91" s="105" t="s">
        <v>142</v>
      </c>
      <c r="C91" s="132"/>
      <c r="D91" s="132"/>
      <c r="E91" s="128"/>
      <c r="F91" s="128"/>
    </row>
    <row r="92" spans="1:6" s="119" customFormat="1" ht="25.8" customHeight="1">
      <c r="A92" s="116"/>
      <c r="B92" s="117" t="s">
        <v>141</v>
      </c>
      <c r="C92" s="144"/>
      <c r="D92" s="144"/>
      <c r="E92" s="116"/>
      <c r="F92" s="116"/>
    </row>
    <row r="93" spans="1:6" s="119" customFormat="1" ht="25.8" customHeight="1">
      <c r="A93" s="116"/>
      <c r="B93" s="117" t="s">
        <v>139</v>
      </c>
      <c r="C93" s="144"/>
      <c r="D93" s="144"/>
      <c r="E93" s="116"/>
      <c r="F93" s="116"/>
    </row>
    <row r="94" spans="1:6" s="124" customFormat="1" ht="15.75" customHeight="1">
      <c r="A94" s="129"/>
      <c r="B94" s="128"/>
      <c r="C94" s="128"/>
      <c r="D94" s="128"/>
      <c r="E94" s="128"/>
      <c r="F94" s="129"/>
    </row>
    <row r="95" spans="1:6" s="119" customFormat="1" ht="28.8" customHeight="1">
      <c r="A95" s="116"/>
      <c r="B95" s="172" t="s">
        <v>182</v>
      </c>
      <c r="C95" s="158" t="s">
        <v>112</v>
      </c>
      <c r="D95" s="158">
        <v>44050</v>
      </c>
      <c r="E95" s="159" t="s">
        <v>181</v>
      </c>
      <c r="F95" s="116"/>
    </row>
    <row r="96" spans="1:6" s="127" customFormat="1" ht="13.8" customHeight="1">
      <c r="A96" s="129"/>
      <c r="B96" s="130"/>
      <c r="C96" s="130"/>
      <c r="D96" s="130"/>
      <c r="E96" s="130"/>
      <c r="F96" s="129"/>
    </row>
    <row r="97" spans="1:6" s="125" customFormat="1" ht="25.2" customHeight="1">
      <c r="A97" s="128"/>
      <c r="B97" s="105" t="s">
        <v>179</v>
      </c>
      <c r="C97" s="128"/>
      <c r="D97" s="128"/>
      <c r="E97" s="128"/>
      <c r="F97" s="128"/>
    </row>
    <row r="98" spans="1:6" s="125" customFormat="1" ht="37.200000000000003" customHeight="1">
      <c r="A98" s="128"/>
      <c r="B98" s="117" t="s">
        <v>180</v>
      </c>
      <c r="C98" s="128"/>
      <c r="D98" s="128"/>
      <c r="E98" s="128"/>
      <c r="F98" s="128"/>
    </row>
    <row r="99" spans="1:6" s="124" customFormat="1" ht="25.2" customHeight="1">
      <c r="A99" s="129"/>
      <c r="B99" s="128"/>
      <c r="C99" s="128"/>
      <c r="D99" s="128"/>
      <c r="E99" s="128"/>
      <c r="F99" s="129"/>
    </row>
    <row r="100" spans="1:6" s="124" customFormat="1" ht="25.2" customHeight="1">
      <c r="A100" s="129"/>
      <c r="B100" s="106"/>
      <c r="C100" s="128"/>
      <c r="D100" s="128"/>
      <c r="E100" s="128"/>
      <c r="F100" s="129"/>
    </row>
    <row r="101" spans="1:6" s="124" customFormat="1" ht="25.2" customHeight="1">
      <c r="A101" s="129"/>
      <c r="B101" s="106"/>
      <c r="C101" s="128"/>
      <c r="D101" s="128"/>
      <c r="E101" s="128"/>
      <c r="F101" s="129"/>
    </row>
    <row r="102" spans="1:6" s="124" customFormat="1" ht="15.75" customHeight="1">
      <c r="A102" s="129"/>
      <c r="B102" s="129"/>
      <c r="C102" s="132"/>
      <c r="D102" s="132"/>
      <c r="E102" s="129"/>
      <c r="F102" s="129"/>
    </row>
    <row r="103" spans="1:6" ht="15.75" customHeight="1">
      <c r="A103" s="129"/>
      <c r="B103" s="128"/>
      <c r="C103" s="128"/>
      <c r="D103" s="128"/>
      <c r="E103" s="128"/>
      <c r="F103" s="129"/>
    </row>
    <row r="104" spans="1:6" s="121" customFormat="1" ht="25.2" customHeight="1">
      <c r="A104" s="129"/>
      <c r="B104" s="128"/>
      <c r="C104" s="128"/>
      <c r="D104" s="128"/>
      <c r="E104" s="128"/>
      <c r="F104" s="129"/>
    </row>
    <row r="105" spans="1:6" s="123" customFormat="1" ht="25.2" customHeight="1">
      <c r="B105" s="125"/>
      <c r="C105" s="147"/>
      <c r="D105" s="147"/>
      <c r="E105" s="147"/>
    </row>
    <row r="106" spans="1:6" s="123" customFormat="1" ht="25.2" customHeight="1">
      <c r="B106" s="125"/>
      <c r="C106" s="147"/>
      <c r="D106" s="147"/>
      <c r="E106" s="147"/>
    </row>
    <row r="107" spans="1:6" s="121" customFormat="1" ht="25.2" customHeight="1">
      <c r="B107" s="125"/>
      <c r="C107" s="147"/>
      <c r="D107" s="147"/>
      <c r="E107" s="147"/>
    </row>
    <row r="108" spans="1:6" s="121" customFormat="1" ht="25.2" customHeight="1">
      <c r="B108" s="106"/>
      <c r="C108" s="147"/>
      <c r="D108" s="147"/>
      <c r="E108" s="147"/>
    </row>
    <row r="109" spans="1:6" s="121" customFormat="1" ht="25.2" customHeight="1">
      <c r="B109" s="106"/>
      <c r="C109" s="147"/>
      <c r="D109" s="147"/>
      <c r="E109" s="147"/>
    </row>
    <row r="110" spans="1:6" s="121" customFormat="1" ht="24.6" customHeight="1">
      <c r="A110" s="122"/>
      <c r="B110" s="105"/>
      <c r="C110" s="147"/>
      <c r="D110" s="147"/>
      <c r="E110" s="147"/>
      <c r="F110" s="123"/>
    </row>
    <row r="111" spans="1:6" s="121" customFormat="1" ht="25.8" customHeight="1">
      <c r="A111" s="122"/>
      <c r="B111" s="105"/>
      <c r="C111" s="148"/>
      <c r="D111" s="148"/>
      <c r="E111" s="147"/>
      <c r="F111" s="123"/>
    </row>
    <row r="112" spans="1:6" s="119" customFormat="1" ht="25.8" customHeight="1">
      <c r="A112" s="116"/>
      <c r="B112" s="117"/>
      <c r="C112" s="151"/>
      <c r="D112" s="151"/>
      <c r="E112" s="152"/>
      <c r="F112" s="118"/>
    </row>
    <row r="113" spans="1:6" s="119" customFormat="1" ht="25.8" customHeight="1">
      <c r="A113" s="116"/>
      <c r="B113" s="117"/>
      <c r="C113" s="151"/>
      <c r="D113" s="151"/>
      <c r="E113" s="152"/>
      <c r="F113" s="118"/>
    </row>
    <row r="114" spans="1:6" ht="15.75" customHeight="1">
      <c r="B114" s="86"/>
      <c r="C114" s="148"/>
      <c r="D114" s="148"/>
      <c r="E114" s="146"/>
    </row>
    <row r="115" spans="1:6" ht="15.75" customHeight="1">
      <c r="B115" s="86"/>
      <c r="C115" s="148"/>
      <c r="D115" s="148"/>
      <c r="E115" s="146"/>
    </row>
    <row r="116" spans="1:6" ht="15.75" customHeight="1">
      <c r="B116" s="86"/>
      <c r="C116" s="148"/>
      <c r="D116" s="148"/>
      <c r="E116" s="146"/>
    </row>
    <row r="117" spans="1:6" ht="15.75" customHeight="1">
      <c r="B117" s="86"/>
      <c r="C117" s="148"/>
      <c r="D117" s="148"/>
      <c r="E117" s="146"/>
    </row>
    <row r="118" spans="1:6" ht="15.75" customHeight="1">
      <c r="B118" s="86"/>
      <c r="C118" s="148"/>
      <c r="D118" s="148"/>
      <c r="E118" s="146"/>
    </row>
    <row r="119" spans="1:6" s="124" customFormat="1" ht="24.6" customHeight="1">
      <c r="A119" s="126"/>
      <c r="B119" s="115" t="s">
        <v>133</v>
      </c>
      <c r="C119" s="150">
        <v>43836</v>
      </c>
      <c r="D119" s="150">
        <v>44171</v>
      </c>
      <c r="E119" s="149" t="s">
        <v>83</v>
      </c>
      <c r="F119" s="125"/>
    </row>
    <row r="120" spans="1:6" s="124" customFormat="1" ht="31.8" customHeight="1">
      <c r="A120" s="126"/>
      <c r="B120" s="105" t="s">
        <v>99</v>
      </c>
      <c r="C120" s="148"/>
      <c r="D120" s="148"/>
      <c r="E120" s="146"/>
      <c r="F120" s="125"/>
    </row>
    <row r="121" spans="1:6" s="124" customFormat="1" ht="24.6" customHeight="1">
      <c r="A121" s="126"/>
      <c r="B121" s="105" t="s">
        <v>135</v>
      </c>
      <c r="C121" s="148"/>
      <c r="D121" s="148"/>
      <c r="E121" s="146"/>
      <c r="F121" s="125"/>
    </row>
    <row r="122" spans="1:6" s="124" customFormat="1" ht="25.2" customHeight="1">
      <c r="B122" s="105" t="s">
        <v>92</v>
      </c>
      <c r="C122" s="148"/>
      <c r="D122" s="148"/>
      <c r="E122" s="146"/>
    </row>
    <row r="123" spans="1:6" s="124" customFormat="1" ht="25.8" customHeight="1">
      <c r="B123" s="105" t="s">
        <v>96</v>
      </c>
      <c r="C123" s="148"/>
      <c r="D123" s="148"/>
      <c r="E123" s="146"/>
    </row>
    <row r="124" spans="1:6" s="124" customFormat="1" ht="23.4" customHeight="1">
      <c r="B124" s="105" t="s">
        <v>97</v>
      </c>
      <c r="C124" s="148"/>
      <c r="D124" s="148"/>
      <c r="E124" s="146"/>
    </row>
    <row r="125" spans="1:6" s="124" customFormat="1" ht="25.2" customHeight="1">
      <c r="B125" s="105" t="s">
        <v>91</v>
      </c>
      <c r="C125" s="148"/>
      <c r="D125" s="148"/>
      <c r="E125" s="146"/>
    </row>
    <row r="126" spans="1:6" s="124" customFormat="1" ht="25.2" customHeight="1">
      <c r="B126" s="105" t="s">
        <v>98</v>
      </c>
      <c r="C126" s="148"/>
      <c r="D126" s="148"/>
      <c r="E126" s="146"/>
    </row>
    <row r="127" spans="1:6" s="124" customFormat="1" ht="25.2" customHeight="1">
      <c r="B127" s="105"/>
      <c r="C127" s="148"/>
      <c r="D127" s="148"/>
      <c r="E127" s="146"/>
    </row>
    <row r="128" spans="1:6" s="124" customFormat="1" ht="27.6" customHeight="1">
      <c r="A128" s="126"/>
      <c r="B128" s="115" t="s">
        <v>134</v>
      </c>
      <c r="C128" s="150" t="s">
        <v>104</v>
      </c>
      <c r="D128" s="150" t="s">
        <v>105</v>
      </c>
      <c r="E128" s="149" t="s">
        <v>100</v>
      </c>
      <c r="F128" s="125"/>
    </row>
    <row r="129" spans="1:6" s="124" customFormat="1" ht="14.4" customHeight="1">
      <c r="A129" s="126"/>
      <c r="B129" s="113"/>
      <c r="C129" s="148"/>
      <c r="D129" s="148"/>
      <c r="E129" s="147"/>
      <c r="F129" s="125"/>
    </row>
    <row r="130" spans="1:6" s="124" customFormat="1" ht="24" customHeight="1">
      <c r="A130" s="126"/>
      <c r="B130" s="105" t="s">
        <v>124</v>
      </c>
      <c r="C130" s="148"/>
      <c r="D130" s="148"/>
      <c r="E130" s="147"/>
      <c r="F130" s="125"/>
    </row>
    <row r="131" spans="1:6" s="124" customFormat="1" ht="23.4" customHeight="1">
      <c r="A131" s="126"/>
      <c r="B131" s="95" t="s">
        <v>125</v>
      </c>
      <c r="C131" s="148"/>
      <c r="D131" s="148"/>
      <c r="E131" s="147"/>
      <c r="F131" s="125"/>
    </row>
    <row r="132" spans="1:6" s="124" customFormat="1" ht="24.6" customHeight="1">
      <c r="A132" s="126"/>
      <c r="B132" s="105" t="s">
        <v>94</v>
      </c>
      <c r="C132" s="148"/>
      <c r="D132" s="148"/>
      <c r="E132" s="147"/>
      <c r="F132" s="125"/>
    </row>
    <row r="133" spans="1:6" s="124" customFormat="1" ht="25.8" customHeight="1">
      <c r="A133" s="126"/>
      <c r="B133" s="105" t="s">
        <v>95</v>
      </c>
      <c r="C133" s="148"/>
      <c r="D133" s="148"/>
      <c r="E133" s="147"/>
      <c r="F133" s="125"/>
    </row>
    <row r="134" spans="1:6" s="119" customFormat="1" ht="25.8" customHeight="1">
      <c r="A134" s="116"/>
      <c r="B134" s="117" t="s">
        <v>136</v>
      </c>
      <c r="C134" s="151"/>
      <c r="D134" s="151"/>
      <c r="E134" s="152"/>
      <c r="F134" s="118"/>
    </row>
    <row r="135" spans="1:6" s="119" customFormat="1" ht="25.8" customHeight="1">
      <c r="A135" s="116"/>
      <c r="B135" s="117" t="s">
        <v>126</v>
      </c>
      <c r="C135" s="151"/>
      <c r="D135" s="151"/>
      <c r="E135" s="152"/>
      <c r="F135" s="118"/>
    </row>
    <row r="136" spans="1:6" s="124" customFormat="1" ht="15.75" customHeight="1">
      <c r="B136" s="125"/>
      <c r="C136" s="147"/>
      <c r="D136" s="147"/>
      <c r="E136" s="147"/>
    </row>
    <row r="137" spans="1:6" s="124" customFormat="1" ht="25.2" customHeight="1">
      <c r="B137" s="115" t="s">
        <v>106</v>
      </c>
      <c r="C137" s="153" t="s">
        <v>107</v>
      </c>
      <c r="D137" s="153" t="s">
        <v>108</v>
      </c>
      <c r="E137" s="149" t="s">
        <v>100</v>
      </c>
    </row>
    <row r="138" spans="1:6" s="125" customFormat="1" ht="25.2" customHeight="1">
      <c r="B138" s="105" t="s">
        <v>114</v>
      </c>
      <c r="C138" s="147"/>
      <c r="D138" s="147"/>
      <c r="E138" s="147"/>
    </row>
    <row r="139" spans="1:6" s="125" customFormat="1" ht="25.2" customHeight="1">
      <c r="B139" s="105" t="s">
        <v>115</v>
      </c>
      <c r="C139" s="147"/>
      <c r="D139" s="147"/>
      <c r="E139" s="147"/>
    </row>
    <row r="140" spans="1:6" s="124" customFormat="1" ht="25.2" customHeight="1">
      <c r="B140" s="115" t="s">
        <v>109</v>
      </c>
      <c r="C140" s="153" t="s">
        <v>112</v>
      </c>
      <c r="D140" s="153" t="s">
        <v>113</v>
      </c>
      <c r="E140" s="149" t="s">
        <v>100</v>
      </c>
    </row>
    <row r="141" spans="1:6" s="124" customFormat="1" ht="25.2" customHeight="1">
      <c r="B141" s="106" t="s">
        <v>110</v>
      </c>
      <c r="C141" s="125"/>
      <c r="D141" s="125"/>
      <c r="E141" s="125"/>
    </row>
    <row r="142" spans="1:6" s="124" customFormat="1" ht="25.2" customHeight="1">
      <c r="B142" s="106" t="s">
        <v>111</v>
      </c>
      <c r="C142" s="125"/>
      <c r="D142" s="125"/>
      <c r="E142" s="125"/>
    </row>
    <row r="143" spans="1:6" ht="15.75" customHeight="1">
      <c r="B143" s="86"/>
    </row>
    <row r="144" spans="1:6" ht="15.75" customHeight="1">
      <c r="B144" s="86"/>
    </row>
    <row r="145" spans="1:34" ht="15.75" customHeight="1">
      <c r="B145" s="86"/>
    </row>
    <row r="146" spans="1:34" ht="15.75" customHeight="1">
      <c r="B146" s="86"/>
    </row>
    <row r="147" spans="1:34" ht="15.75" customHeight="1">
      <c r="B147" s="86"/>
    </row>
    <row r="148" spans="1:34" ht="15.75" customHeight="1">
      <c r="B148" s="86"/>
    </row>
    <row r="149" spans="1:34" ht="15.75" customHeight="1">
      <c r="A149" s="174"/>
      <c r="B149" s="174"/>
      <c r="C149" s="175"/>
      <c r="D149" s="175"/>
      <c r="E149" s="174"/>
      <c r="F149" s="174"/>
    </row>
    <row r="150" spans="1:34" ht="15.75" customHeight="1">
      <c r="A150" s="174"/>
      <c r="B150" s="174"/>
      <c r="C150" s="175"/>
      <c r="D150" s="175"/>
      <c r="E150" s="174"/>
      <c r="F150" s="174"/>
    </row>
    <row r="151" spans="1:34" ht="15.75" customHeight="1">
      <c r="A151" s="174"/>
      <c r="B151" s="174"/>
      <c r="C151" s="175"/>
      <c r="D151" s="175"/>
      <c r="E151" s="174"/>
      <c r="F151" s="174"/>
    </row>
    <row r="152" spans="1:34" ht="15.75" customHeight="1">
      <c r="A152" s="174"/>
      <c r="B152" s="174"/>
      <c r="C152" s="175"/>
      <c r="D152" s="175"/>
      <c r="E152" s="174"/>
      <c r="F152" s="174"/>
    </row>
    <row r="153" spans="1:34" ht="15.75" customHeight="1">
      <c r="A153" s="174"/>
      <c r="B153" s="174"/>
      <c r="C153" s="175"/>
      <c r="D153" s="175"/>
      <c r="E153" s="174"/>
      <c r="F153" s="174"/>
    </row>
    <row r="154" spans="1:34" s="133" customFormat="1" ht="32.4" customHeight="1">
      <c r="A154" s="176"/>
      <c r="B154" s="177" t="s">
        <v>144</v>
      </c>
      <c r="C154" s="178"/>
      <c r="D154" s="178"/>
      <c r="E154" s="179"/>
      <c r="F154" s="179"/>
      <c r="G154" s="1"/>
      <c r="H154" s="1"/>
      <c r="I154" s="1"/>
      <c r="J154" s="1"/>
      <c r="K154" s="1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</row>
    <row r="155" spans="1:34" s="133" customFormat="1" ht="30.6" customHeight="1">
      <c r="A155" s="220"/>
      <c r="B155" s="222" t="s">
        <v>1</v>
      </c>
      <c r="C155" s="222" t="s">
        <v>76</v>
      </c>
      <c r="D155" s="225" t="s">
        <v>77</v>
      </c>
      <c r="E155" s="222" t="s">
        <v>78</v>
      </c>
      <c r="F155" s="220"/>
      <c r="L155" s="221"/>
      <c r="M155" s="221"/>
      <c r="N155" s="221"/>
      <c r="O155" s="221"/>
      <c r="P155" s="221"/>
      <c r="Q155" s="221"/>
      <c r="R155" s="221"/>
      <c r="S155" s="221"/>
      <c r="T155" s="221"/>
      <c r="U155" s="221"/>
      <c r="V155" s="221"/>
      <c r="W155" s="221"/>
      <c r="X155" s="221"/>
      <c r="Y155" s="221"/>
      <c r="Z155" s="221"/>
      <c r="AA155" s="221"/>
      <c r="AB155" s="221"/>
      <c r="AC155" s="221"/>
      <c r="AD155" s="221"/>
      <c r="AE155" s="221"/>
      <c r="AF155" s="139"/>
    </row>
    <row r="156" spans="1:34" s="133" customFormat="1" ht="12.6" customHeight="1">
      <c r="A156" s="220"/>
      <c r="B156" s="223"/>
      <c r="C156" s="224"/>
      <c r="D156" s="226"/>
      <c r="E156" s="227"/>
      <c r="F156" s="220"/>
      <c r="G156" s="76"/>
      <c r="H156" s="76"/>
      <c r="I156" s="76"/>
      <c r="J156" s="76"/>
      <c r="K156" s="76"/>
      <c r="L156" s="50"/>
      <c r="M156" s="50"/>
      <c r="N156" s="50"/>
      <c r="O156" s="50"/>
      <c r="P156" s="50"/>
      <c r="Q156" s="50"/>
      <c r="R156" s="50"/>
      <c r="S156" s="50"/>
      <c r="T156" s="50"/>
      <c r="U156" s="50"/>
      <c r="V156" s="50"/>
      <c r="W156" s="50"/>
      <c r="X156" s="50"/>
      <c r="Y156" s="50"/>
      <c r="Z156" s="50"/>
      <c r="AA156" s="50"/>
      <c r="AB156" s="50"/>
      <c r="AC156" s="50"/>
      <c r="AD156" s="50"/>
      <c r="AE156" s="50"/>
      <c r="AF156" s="50"/>
    </row>
    <row r="157" spans="1:34" s="133" customFormat="1" ht="12.6" customHeight="1">
      <c r="A157" s="180"/>
      <c r="B157" s="181"/>
      <c r="C157" s="182"/>
      <c r="D157" s="183"/>
      <c r="E157" s="174"/>
      <c r="F157" s="180"/>
      <c r="G157" s="76"/>
      <c r="H157" s="76"/>
      <c r="I157" s="76"/>
      <c r="J157" s="76"/>
      <c r="K157" s="76"/>
      <c r="L157" s="50"/>
      <c r="M157" s="50"/>
      <c r="N157" s="50"/>
      <c r="O157" s="50"/>
      <c r="P157" s="50"/>
      <c r="Q157" s="50"/>
      <c r="R157" s="50"/>
      <c r="S157" s="50"/>
      <c r="T157" s="50"/>
      <c r="U157" s="50"/>
      <c r="V157" s="50"/>
      <c r="W157" s="50"/>
      <c r="X157" s="50"/>
      <c r="Y157" s="50"/>
      <c r="Z157" s="50"/>
      <c r="AA157" s="50"/>
      <c r="AB157" s="50"/>
      <c r="AC157" s="50"/>
      <c r="AD157" s="50"/>
      <c r="AE157" s="50"/>
      <c r="AF157" s="50"/>
    </row>
    <row r="158" spans="1:34" s="140" customFormat="1" ht="42.6" customHeight="1">
      <c r="A158" s="180"/>
      <c r="B158" s="184" t="s">
        <v>145</v>
      </c>
      <c r="C158" s="185">
        <v>43892</v>
      </c>
      <c r="D158" s="185">
        <v>44014</v>
      </c>
      <c r="E158" s="186" t="s">
        <v>167</v>
      </c>
      <c r="F158" s="180"/>
      <c r="G158" s="134"/>
      <c r="H158" s="134"/>
      <c r="I158" s="134"/>
      <c r="J158" s="134"/>
      <c r="K158" s="134"/>
      <c r="L158" s="134"/>
      <c r="M158" s="134"/>
      <c r="N158" s="134"/>
      <c r="O158" s="134"/>
      <c r="P158" s="134"/>
      <c r="Q158" s="134"/>
      <c r="R158" s="134"/>
      <c r="S158" s="134"/>
      <c r="T158" s="134"/>
      <c r="U158" s="134"/>
      <c r="V158" s="134"/>
      <c r="W158" s="134"/>
      <c r="X158" s="134"/>
      <c r="Y158" s="134"/>
      <c r="Z158" s="134"/>
      <c r="AA158" s="134"/>
      <c r="AB158" s="134"/>
      <c r="AC158" s="134"/>
      <c r="AD158" s="134"/>
      <c r="AE158" s="134"/>
      <c r="AF158" s="134"/>
      <c r="AG158" s="134"/>
      <c r="AH158" s="134"/>
    </row>
    <row r="159" spans="1:34" s="140" customFormat="1" ht="16.8" customHeight="1">
      <c r="A159" s="180"/>
      <c r="B159" s="180"/>
      <c r="C159" s="180"/>
      <c r="D159" s="180"/>
      <c r="E159" s="180"/>
      <c r="F159" s="180"/>
      <c r="G159" s="134"/>
      <c r="H159" s="134"/>
      <c r="I159" s="134"/>
      <c r="J159" s="134"/>
      <c r="K159" s="134"/>
      <c r="L159" s="134"/>
      <c r="M159" s="134"/>
      <c r="N159" s="134"/>
      <c r="O159" s="134"/>
      <c r="P159" s="134"/>
      <c r="Q159" s="134"/>
      <c r="R159" s="134"/>
      <c r="S159" s="134"/>
      <c r="T159" s="134"/>
      <c r="U159" s="134"/>
      <c r="V159" s="134"/>
      <c r="W159" s="134"/>
      <c r="X159" s="134"/>
      <c r="Y159" s="134"/>
      <c r="Z159" s="134"/>
      <c r="AA159" s="134"/>
      <c r="AB159" s="134"/>
      <c r="AC159" s="134"/>
      <c r="AD159" s="134"/>
      <c r="AE159" s="134"/>
      <c r="AF159" s="134"/>
      <c r="AG159" s="134"/>
      <c r="AH159" s="134"/>
    </row>
    <row r="160" spans="1:34" s="140" customFormat="1" ht="45.6" customHeight="1">
      <c r="A160" s="180"/>
      <c r="B160" s="187" t="s">
        <v>146</v>
      </c>
      <c r="C160" s="188">
        <v>44106</v>
      </c>
      <c r="D160" s="189" t="s">
        <v>175</v>
      </c>
      <c r="E160" s="190" t="s">
        <v>176</v>
      </c>
      <c r="F160" s="180"/>
      <c r="G160" s="134"/>
      <c r="H160" s="134"/>
      <c r="I160" s="134"/>
      <c r="J160" s="134"/>
      <c r="K160" s="134"/>
      <c r="L160" s="134"/>
      <c r="M160" s="134"/>
      <c r="N160" s="134"/>
      <c r="O160" s="134"/>
      <c r="P160" s="134"/>
      <c r="Q160" s="134"/>
      <c r="R160" s="134"/>
      <c r="S160" s="134"/>
      <c r="T160" s="134"/>
      <c r="U160" s="134"/>
      <c r="V160" s="134"/>
      <c r="W160" s="134"/>
      <c r="X160" s="134"/>
      <c r="Y160" s="134"/>
      <c r="Z160" s="134"/>
      <c r="AA160" s="134"/>
      <c r="AB160" s="134"/>
      <c r="AC160" s="134"/>
      <c r="AD160" s="134"/>
      <c r="AE160" s="134"/>
      <c r="AF160" s="134"/>
      <c r="AG160" s="134"/>
      <c r="AH160" s="134"/>
    </row>
    <row r="161" spans="1:34" s="134" customFormat="1" ht="16.8" customHeight="1">
      <c r="A161" s="180"/>
      <c r="B161" s="180"/>
      <c r="C161" s="181"/>
      <c r="D161" s="181"/>
      <c r="E161" s="180"/>
      <c r="F161" s="180"/>
    </row>
    <row r="162" spans="1:34" s="143" customFormat="1" ht="28.8">
      <c r="A162" s="180"/>
      <c r="B162" s="191" t="s">
        <v>153</v>
      </c>
      <c r="C162" s="192">
        <v>44106</v>
      </c>
      <c r="D162" s="192" t="s">
        <v>119</v>
      </c>
      <c r="E162" s="193" t="s">
        <v>118</v>
      </c>
      <c r="F162" s="180"/>
      <c r="G162" s="134"/>
      <c r="H162" s="134"/>
      <c r="I162" s="134"/>
      <c r="J162" s="134"/>
      <c r="K162" s="134"/>
      <c r="L162" s="134"/>
      <c r="M162" s="134"/>
      <c r="N162" s="134"/>
      <c r="O162" s="134"/>
      <c r="P162" s="134"/>
      <c r="Q162" s="134"/>
      <c r="R162" s="134"/>
      <c r="S162" s="134"/>
      <c r="T162" s="134"/>
      <c r="U162" s="134"/>
      <c r="V162" s="134"/>
      <c r="W162" s="134"/>
      <c r="X162" s="134"/>
      <c r="Y162" s="134"/>
      <c r="Z162" s="134"/>
      <c r="AA162" s="134"/>
      <c r="AB162" s="134"/>
      <c r="AC162" s="134"/>
      <c r="AD162" s="134"/>
      <c r="AE162" s="134"/>
      <c r="AF162" s="134"/>
      <c r="AG162" s="134"/>
      <c r="AH162" s="134"/>
    </row>
    <row r="163" spans="1:34" s="134" customFormat="1" ht="15.6" customHeight="1">
      <c r="A163" s="180"/>
      <c r="B163" s="180"/>
      <c r="C163" s="180"/>
      <c r="D163" s="180"/>
      <c r="E163" s="180"/>
      <c r="F163" s="180"/>
    </row>
    <row r="164" spans="1:34" s="154" customFormat="1" ht="40.200000000000003" customHeight="1">
      <c r="A164" s="181"/>
      <c r="B164" s="194" t="s">
        <v>154</v>
      </c>
      <c r="C164" s="192" t="s">
        <v>168</v>
      </c>
      <c r="D164" s="192" t="s">
        <v>169</v>
      </c>
      <c r="E164" s="193" t="s">
        <v>120</v>
      </c>
      <c r="F164" s="181"/>
      <c r="G164" s="118"/>
      <c r="H164" s="118"/>
      <c r="I164" s="118"/>
      <c r="J164" s="118"/>
      <c r="K164" s="118"/>
      <c r="L164" s="118"/>
      <c r="M164" s="118"/>
      <c r="N164" s="118"/>
      <c r="O164" s="118"/>
      <c r="P164" s="118"/>
      <c r="Q164" s="118"/>
      <c r="R164" s="118"/>
      <c r="S164" s="118"/>
      <c r="T164" s="118"/>
      <c r="U164" s="118"/>
      <c r="V164" s="118"/>
      <c r="W164" s="118"/>
      <c r="X164" s="118"/>
      <c r="Y164" s="118"/>
      <c r="Z164" s="118"/>
      <c r="AA164" s="118"/>
      <c r="AB164" s="118"/>
      <c r="AC164" s="118"/>
      <c r="AD164" s="134"/>
      <c r="AE164" s="134"/>
      <c r="AF164" s="134"/>
      <c r="AG164" s="134"/>
      <c r="AH164" s="134"/>
    </row>
    <row r="165" spans="1:34" s="134" customFormat="1" ht="12" customHeight="1">
      <c r="A165" s="180"/>
      <c r="B165" s="180"/>
      <c r="C165" s="180"/>
      <c r="D165" s="180"/>
      <c r="E165" s="180"/>
      <c r="F165" s="180"/>
    </row>
    <row r="166" spans="1:34" s="143" customFormat="1" ht="33.6" customHeight="1">
      <c r="A166" s="180"/>
      <c r="B166" s="195" t="s">
        <v>155</v>
      </c>
      <c r="C166" s="196" t="s">
        <v>170</v>
      </c>
      <c r="D166" s="196" t="s">
        <v>151</v>
      </c>
      <c r="E166" s="197" t="s">
        <v>152</v>
      </c>
      <c r="F166" s="180"/>
      <c r="G166" s="134"/>
      <c r="H166" s="134"/>
      <c r="I166" s="134"/>
      <c r="J166" s="134"/>
      <c r="K166" s="134"/>
      <c r="L166" s="134"/>
      <c r="M166" s="134"/>
      <c r="N166" s="134"/>
      <c r="O166" s="134"/>
      <c r="P166" s="134"/>
      <c r="Q166" s="134"/>
      <c r="R166" s="134"/>
      <c r="S166" s="134"/>
      <c r="T166" s="134"/>
      <c r="U166" s="134"/>
      <c r="V166" s="134"/>
      <c r="W166" s="134"/>
      <c r="X166" s="134"/>
      <c r="Y166" s="134"/>
      <c r="Z166" s="134"/>
      <c r="AA166" s="134"/>
      <c r="AB166" s="134"/>
      <c r="AC166" s="134"/>
      <c r="AD166" s="134"/>
      <c r="AE166" s="134"/>
      <c r="AF166" s="134"/>
      <c r="AG166" s="134"/>
      <c r="AH166" s="134"/>
    </row>
    <row r="167" spans="1:34" s="134" customFormat="1" ht="13.2" customHeight="1">
      <c r="A167" s="180"/>
      <c r="B167" s="180"/>
      <c r="C167" s="180"/>
      <c r="D167" s="180"/>
      <c r="E167" s="180"/>
      <c r="F167" s="180"/>
    </row>
    <row r="168" spans="1:34" s="133" customFormat="1" ht="26.4" customHeight="1">
      <c r="A168" s="180"/>
      <c r="B168" s="198" t="s">
        <v>165</v>
      </c>
      <c r="C168" s="199" t="s">
        <v>171</v>
      </c>
      <c r="D168" s="199">
        <v>43954</v>
      </c>
      <c r="E168" s="200" t="s">
        <v>100</v>
      </c>
      <c r="F168" s="180"/>
      <c r="G168" s="80"/>
      <c r="H168" s="80"/>
      <c r="I168" s="80"/>
      <c r="J168" s="80"/>
      <c r="K168" s="80"/>
    </row>
    <row r="169" spans="1:34" s="133" customFormat="1" ht="13.8" customHeight="1">
      <c r="A169" s="180"/>
      <c r="B169" s="201"/>
      <c r="C169" s="202"/>
      <c r="D169" s="202"/>
      <c r="E169" s="174"/>
      <c r="F169" s="180"/>
      <c r="G169" s="80"/>
      <c r="H169" s="80"/>
      <c r="I169" s="80"/>
      <c r="J169" s="80"/>
      <c r="K169" s="80"/>
    </row>
    <row r="170" spans="1:34" s="133" customFormat="1" ht="24" customHeight="1">
      <c r="A170" s="203"/>
      <c r="B170" s="198" t="s">
        <v>164</v>
      </c>
      <c r="C170" s="199">
        <v>43985</v>
      </c>
      <c r="D170" s="199">
        <v>44168</v>
      </c>
      <c r="E170" s="204" t="s">
        <v>100</v>
      </c>
      <c r="F170" s="180"/>
      <c r="G170" s="80"/>
      <c r="H170" s="80"/>
      <c r="I170" s="80"/>
      <c r="J170" s="80"/>
      <c r="K170" s="80"/>
    </row>
    <row r="171" spans="1:34" s="133" customFormat="1" ht="28.8">
      <c r="A171" s="174"/>
      <c r="B171" s="205" t="s">
        <v>163</v>
      </c>
      <c r="C171" s="206" t="s">
        <v>172</v>
      </c>
      <c r="D171" s="206" t="s">
        <v>173</v>
      </c>
      <c r="E171" s="200" t="s">
        <v>100</v>
      </c>
      <c r="F171" s="180"/>
    </row>
    <row r="172" spans="1:34" s="133" customFormat="1" ht="37.200000000000003" customHeight="1">
      <c r="A172" s="174"/>
      <c r="B172" s="207" t="s">
        <v>183</v>
      </c>
      <c r="C172" s="208"/>
      <c r="D172" s="208"/>
      <c r="E172" s="209"/>
      <c r="F172" s="180"/>
    </row>
    <row r="173" spans="1:34" s="82" customFormat="1" ht="26.4" customHeight="1">
      <c r="A173" s="180"/>
      <c r="B173" s="210" t="s">
        <v>177</v>
      </c>
      <c r="C173" s="206">
        <v>43926</v>
      </c>
      <c r="D173" s="206" t="s">
        <v>101</v>
      </c>
      <c r="E173" s="200" t="s">
        <v>83</v>
      </c>
      <c r="F173" s="180"/>
      <c r="G173" s="134"/>
      <c r="H173" s="134"/>
      <c r="I173" s="134"/>
      <c r="J173" s="134"/>
      <c r="K173" s="134"/>
      <c r="L173" s="134"/>
      <c r="M173" s="134"/>
      <c r="N173" s="134"/>
      <c r="O173" s="134"/>
      <c r="P173" s="134"/>
      <c r="Q173" s="134"/>
      <c r="R173" s="134"/>
      <c r="S173" s="134"/>
      <c r="T173" s="134"/>
      <c r="U173" s="134"/>
      <c r="V173" s="134"/>
      <c r="W173" s="134"/>
      <c r="X173" s="134"/>
      <c r="Y173" s="134"/>
      <c r="Z173" s="134"/>
      <c r="AA173" s="134"/>
      <c r="AB173" s="134"/>
      <c r="AC173" s="134"/>
      <c r="AD173" s="134"/>
      <c r="AE173" s="134"/>
      <c r="AF173" s="134"/>
      <c r="AG173" s="134"/>
      <c r="AH173" s="134"/>
    </row>
    <row r="174" spans="1:34" s="82" customFormat="1" ht="14.4" customHeight="1">
      <c r="A174" s="180"/>
      <c r="B174" s="180"/>
      <c r="C174" s="180"/>
      <c r="D174" s="180"/>
      <c r="E174" s="180"/>
      <c r="F174" s="180"/>
      <c r="G174" s="134"/>
      <c r="H174" s="134"/>
      <c r="I174" s="134"/>
      <c r="J174" s="134"/>
      <c r="K174" s="134"/>
      <c r="L174" s="134"/>
      <c r="M174" s="134"/>
      <c r="N174" s="134"/>
      <c r="O174" s="134"/>
      <c r="P174" s="134"/>
      <c r="Q174" s="134"/>
      <c r="R174" s="134"/>
      <c r="S174" s="134"/>
      <c r="T174" s="134"/>
      <c r="U174" s="134"/>
      <c r="V174" s="134"/>
      <c r="W174" s="134"/>
      <c r="X174" s="134"/>
      <c r="Y174" s="134"/>
      <c r="Z174" s="134"/>
      <c r="AA174" s="134"/>
      <c r="AB174" s="134"/>
      <c r="AC174" s="134"/>
      <c r="AD174" s="134"/>
      <c r="AE174" s="134"/>
      <c r="AF174" s="134"/>
      <c r="AG174" s="134"/>
      <c r="AH174" s="134"/>
    </row>
    <row r="175" spans="1:34" s="84" customFormat="1" ht="26.4" customHeight="1">
      <c r="A175" s="211"/>
      <c r="B175" s="210" t="s">
        <v>160</v>
      </c>
      <c r="C175" s="206" t="s">
        <v>102</v>
      </c>
      <c r="D175" s="206" t="s">
        <v>103</v>
      </c>
      <c r="E175" s="200" t="s">
        <v>100</v>
      </c>
      <c r="F175" s="180"/>
    </row>
    <row r="176" spans="1:34" s="84" customFormat="1" ht="15.6" customHeight="1">
      <c r="A176" s="211"/>
      <c r="B176" s="180"/>
      <c r="C176" s="180"/>
      <c r="D176" s="180"/>
      <c r="E176" s="180"/>
      <c r="F176" s="180"/>
    </row>
    <row r="177" spans="1:11" s="133" customFormat="1" ht="24.6" customHeight="1">
      <c r="A177" s="174"/>
      <c r="B177" s="212" t="s">
        <v>161</v>
      </c>
      <c r="C177" s="206" t="s">
        <v>137</v>
      </c>
      <c r="D177" s="206">
        <v>43957</v>
      </c>
      <c r="E177" s="200" t="s">
        <v>83</v>
      </c>
      <c r="F177" s="180"/>
    </row>
    <row r="178" spans="1:11" s="133" customFormat="1" ht="18" customHeight="1">
      <c r="A178" s="203"/>
      <c r="B178" s="180"/>
      <c r="C178" s="180"/>
      <c r="D178" s="180"/>
      <c r="E178" s="180"/>
      <c r="F178" s="180"/>
      <c r="G178" s="80"/>
      <c r="H178" s="80"/>
      <c r="I178" s="80"/>
      <c r="J178" s="80"/>
      <c r="K178" s="80"/>
    </row>
    <row r="179" spans="1:11" s="133" customFormat="1" ht="27.6" customHeight="1">
      <c r="A179" s="174"/>
      <c r="B179" s="212" t="s">
        <v>162</v>
      </c>
      <c r="C179" s="206">
        <v>44049</v>
      </c>
      <c r="D179" s="206" t="s">
        <v>108</v>
      </c>
      <c r="E179" s="200" t="s">
        <v>83</v>
      </c>
      <c r="F179" s="180"/>
    </row>
    <row r="180" spans="1:11" s="133" customFormat="1" ht="18.600000000000001" customHeight="1">
      <c r="A180" s="174"/>
      <c r="B180" s="180"/>
      <c r="C180" s="180"/>
      <c r="D180" s="180"/>
      <c r="E180" s="180"/>
      <c r="F180" s="180"/>
    </row>
    <row r="181" spans="1:11" s="119" customFormat="1" ht="39" customHeight="1">
      <c r="A181" s="181"/>
      <c r="B181" s="213" t="s">
        <v>184</v>
      </c>
      <c r="C181" s="185" t="s">
        <v>112</v>
      </c>
      <c r="D181" s="185">
        <v>44050</v>
      </c>
      <c r="E181" s="186" t="s">
        <v>181</v>
      </c>
      <c r="F181" s="181"/>
    </row>
    <row r="182" spans="1:11" s="133" customFormat="1" ht="13.8" hidden="1" customHeight="1">
      <c r="A182" s="174"/>
      <c r="B182" s="180"/>
      <c r="C182" s="180"/>
      <c r="D182" s="180"/>
      <c r="E182" s="180"/>
      <c r="F182" s="174"/>
    </row>
    <row r="183" spans="1:11" s="134" customFormat="1" ht="25.2" customHeight="1">
      <c r="A183" s="180"/>
      <c r="B183" s="214" t="s">
        <v>179</v>
      </c>
      <c r="C183" s="180"/>
      <c r="D183" s="180"/>
      <c r="E183" s="180"/>
      <c r="F183" s="180"/>
    </row>
    <row r="184" spans="1:11" s="134" customFormat="1" ht="37.200000000000003" customHeight="1">
      <c r="A184" s="180"/>
      <c r="B184" s="215"/>
      <c r="C184" s="180"/>
      <c r="D184" s="180"/>
      <c r="E184" s="180"/>
      <c r="F184" s="180"/>
    </row>
    <row r="185" spans="1:11" s="133" customFormat="1" ht="24.6" customHeight="1">
      <c r="A185" s="101"/>
      <c r="B185" s="89"/>
      <c r="C185" s="109"/>
      <c r="D185" s="109"/>
      <c r="E185" s="101"/>
      <c r="F185" s="136"/>
      <c r="G185" s="80"/>
      <c r="H185" s="80"/>
      <c r="I185" s="80"/>
      <c r="J185" s="80"/>
      <c r="K185" s="80"/>
    </row>
    <row r="186" spans="1:11" s="133" customFormat="1" ht="8.4" customHeight="1">
      <c r="A186" s="101"/>
      <c r="B186" s="89"/>
      <c r="C186" s="109"/>
      <c r="D186" s="109"/>
      <c r="E186" s="101"/>
      <c r="F186" s="136"/>
      <c r="G186" s="80"/>
      <c r="H186" s="80"/>
      <c r="I186" s="80"/>
      <c r="J186" s="80"/>
      <c r="K186" s="80"/>
    </row>
    <row r="187" spans="1:11" s="133" customFormat="1" ht="23.4">
      <c r="A187" s="135"/>
      <c r="B187" s="102" t="s">
        <v>163</v>
      </c>
      <c r="C187" s="110" t="s">
        <v>172</v>
      </c>
      <c r="D187" s="110" t="s">
        <v>173</v>
      </c>
      <c r="E187" s="100" t="s">
        <v>100</v>
      </c>
      <c r="F187" s="136"/>
    </row>
    <row r="188" spans="1:11" s="133" customFormat="1" ht="9.6" customHeight="1">
      <c r="A188" s="135"/>
      <c r="B188" s="135"/>
      <c r="C188" s="132"/>
      <c r="D188" s="132"/>
      <c r="E188" s="136"/>
      <c r="F188" s="136"/>
    </row>
    <row r="189" spans="1:11" s="134" customFormat="1" ht="23.4">
      <c r="A189" s="136"/>
      <c r="B189" s="135" t="s">
        <v>89</v>
      </c>
      <c r="C189" s="132"/>
      <c r="D189" s="132"/>
      <c r="E189" s="136"/>
      <c r="F189" s="136"/>
    </row>
    <row r="190" spans="1:11" s="133" customFormat="1" ht="23.4">
      <c r="A190" s="135"/>
      <c r="B190" s="95" t="s">
        <v>127</v>
      </c>
      <c r="C190" s="132"/>
      <c r="D190" s="132"/>
      <c r="E190" s="135"/>
      <c r="F190" s="136"/>
    </row>
    <row r="191" spans="1:11" s="133" customFormat="1" ht="25.8" customHeight="1">
      <c r="A191" s="135"/>
      <c r="B191" s="95" t="s">
        <v>128</v>
      </c>
      <c r="C191" s="132"/>
      <c r="D191" s="132"/>
      <c r="E191" s="135"/>
      <c r="F191" s="136"/>
    </row>
    <row r="192" spans="1:11" s="133" customFormat="1" ht="24" customHeight="1">
      <c r="A192" s="135"/>
      <c r="B192" s="95" t="s">
        <v>79</v>
      </c>
      <c r="C192" s="132"/>
      <c r="D192" s="132"/>
      <c r="E192" s="135"/>
      <c r="F192" s="136"/>
    </row>
    <row r="193" spans="1:34" s="133" customFormat="1" ht="24" customHeight="1">
      <c r="A193" s="135"/>
      <c r="B193" s="95"/>
      <c r="C193" s="132"/>
      <c r="D193" s="132"/>
      <c r="E193" s="135"/>
      <c r="F193" s="136"/>
    </row>
    <row r="194" spans="1:34" s="133" customFormat="1" ht="37.200000000000003" customHeight="1">
      <c r="A194" s="135"/>
      <c r="B194" s="173" t="s">
        <v>183</v>
      </c>
      <c r="C194" s="166"/>
      <c r="D194" s="166"/>
      <c r="E194" s="167"/>
      <c r="F194" s="136"/>
    </row>
    <row r="195" spans="1:34" s="82" customFormat="1" ht="26.4" customHeight="1">
      <c r="A195" s="136"/>
      <c r="B195" s="103" t="s">
        <v>177</v>
      </c>
      <c r="C195" s="110">
        <v>43926</v>
      </c>
      <c r="D195" s="110" t="s">
        <v>101</v>
      </c>
      <c r="E195" s="100" t="s">
        <v>83</v>
      </c>
      <c r="F195" s="136"/>
      <c r="G195" s="134"/>
      <c r="H195" s="134"/>
      <c r="I195" s="134"/>
      <c r="J195" s="134"/>
      <c r="K195" s="134"/>
      <c r="L195" s="134"/>
      <c r="M195" s="134"/>
      <c r="N195" s="134"/>
      <c r="O195" s="134"/>
      <c r="P195" s="134"/>
      <c r="Q195" s="134"/>
      <c r="R195" s="134"/>
      <c r="S195" s="134"/>
      <c r="T195" s="134"/>
      <c r="U195" s="134"/>
      <c r="V195" s="134"/>
      <c r="W195" s="134"/>
      <c r="X195" s="134"/>
      <c r="Y195" s="134"/>
      <c r="Z195" s="134"/>
      <c r="AA195" s="134"/>
      <c r="AB195" s="134"/>
      <c r="AC195" s="134"/>
      <c r="AD195" s="134"/>
      <c r="AE195" s="134"/>
      <c r="AF195" s="134"/>
      <c r="AG195" s="134"/>
      <c r="AH195" s="134"/>
    </row>
    <row r="196" spans="1:34" s="133" customFormat="1" ht="15.6" customHeight="1">
      <c r="A196" s="135"/>
      <c r="B196" s="95"/>
      <c r="C196" s="132"/>
      <c r="D196" s="132"/>
      <c r="E196" s="135"/>
      <c r="F196" s="136"/>
    </row>
    <row r="197" spans="1:34" s="133" customFormat="1" ht="23.4">
      <c r="A197" s="135"/>
      <c r="B197" s="95" t="s">
        <v>93</v>
      </c>
      <c r="C197" s="132"/>
      <c r="D197" s="132"/>
      <c r="E197" s="135"/>
      <c r="F197" s="136"/>
    </row>
    <row r="198" spans="1:34" s="133" customFormat="1" ht="26.4" customHeight="1">
      <c r="A198" s="135"/>
      <c r="B198" s="95" t="s">
        <v>88</v>
      </c>
      <c r="C198" s="132"/>
      <c r="D198" s="132"/>
      <c r="E198" s="135"/>
      <c r="F198" s="136"/>
    </row>
    <row r="199" spans="1:34" s="133" customFormat="1" ht="25.8" customHeight="1">
      <c r="A199" s="135"/>
      <c r="B199" s="95" t="s">
        <v>129</v>
      </c>
      <c r="C199" s="132"/>
      <c r="D199" s="132"/>
      <c r="E199" s="135"/>
      <c r="F199" s="136"/>
    </row>
    <row r="200" spans="1:34" s="133" customFormat="1" ht="24.6" customHeight="1">
      <c r="A200" s="135"/>
      <c r="B200" s="95" t="s">
        <v>90</v>
      </c>
      <c r="C200" s="132"/>
      <c r="D200" s="132"/>
      <c r="E200" s="135"/>
      <c r="F200" s="136"/>
    </row>
    <row r="201" spans="1:34" s="133" customFormat="1" ht="24" customHeight="1">
      <c r="A201" s="135"/>
      <c r="B201" s="95" t="s">
        <v>79</v>
      </c>
      <c r="C201" s="132"/>
      <c r="D201" s="132"/>
      <c r="E201" s="135"/>
      <c r="F201" s="136"/>
    </row>
    <row r="202" spans="1:34" s="133" customFormat="1" ht="24" customHeight="1">
      <c r="A202" s="135"/>
      <c r="B202" s="95" t="s">
        <v>73</v>
      </c>
      <c r="C202" s="132"/>
      <c r="D202" s="132"/>
      <c r="E202" s="135"/>
      <c r="F202" s="136"/>
    </row>
    <row r="203" spans="1:34" s="133" customFormat="1" ht="19.2" customHeight="1">
      <c r="A203" s="135"/>
      <c r="B203" s="95"/>
      <c r="C203" s="132"/>
      <c r="D203" s="132"/>
      <c r="E203" s="135"/>
      <c r="F203" s="136"/>
    </row>
    <row r="204" spans="1:34" s="84" customFormat="1" ht="26.4" customHeight="1">
      <c r="A204" s="104"/>
      <c r="B204" s="103" t="s">
        <v>160</v>
      </c>
      <c r="C204" s="110" t="s">
        <v>102</v>
      </c>
      <c r="D204" s="110" t="s">
        <v>103</v>
      </c>
      <c r="E204" s="100" t="s">
        <v>100</v>
      </c>
      <c r="F204" s="136"/>
    </row>
    <row r="205" spans="1:34" s="133" customFormat="1" ht="18.600000000000001" customHeight="1">
      <c r="A205" s="135"/>
      <c r="B205" s="95"/>
      <c r="C205" s="132"/>
      <c r="D205" s="132"/>
      <c r="E205" s="135"/>
      <c r="F205" s="136"/>
    </row>
    <row r="206" spans="1:34" s="133" customFormat="1" ht="27.6" customHeight="1">
      <c r="A206" s="135"/>
      <c r="B206" s="95" t="s">
        <v>130</v>
      </c>
      <c r="C206" s="132"/>
      <c r="D206" s="132"/>
      <c r="E206" s="135"/>
      <c r="F206" s="136"/>
    </row>
    <row r="207" spans="1:34" s="133" customFormat="1" ht="25.2" customHeight="1">
      <c r="A207" s="135"/>
      <c r="B207" s="95" t="s">
        <v>132</v>
      </c>
      <c r="C207" s="132"/>
      <c r="D207" s="132"/>
      <c r="E207" s="135"/>
      <c r="F207" s="136"/>
    </row>
    <row r="208" spans="1:34" s="133" customFormat="1" ht="24.6" customHeight="1">
      <c r="A208" s="135"/>
      <c r="B208" s="95" t="s">
        <v>131</v>
      </c>
      <c r="C208" s="132"/>
      <c r="D208" s="132"/>
      <c r="E208" s="135"/>
      <c r="F208" s="136"/>
    </row>
    <row r="209" spans="1:6" s="133" customFormat="1" ht="24" customHeight="1">
      <c r="A209" s="135"/>
      <c r="B209" s="95" t="s">
        <v>80</v>
      </c>
      <c r="C209" s="132"/>
      <c r="D209" s="132"/>
      <c r="E209" s="135"/>
      <c r="F209" s="136"/>
    </row>
    <row r="210" spans="1:6" s="133" customFormat="1" ht="26.4" customHeight="1">
      <c r="A210" s="135"/>
      <c r="B210" s="95" t="s">
        <v>74</v>
      </c>
      <c r="C210" s="132"/>
      <c r="D210" s="132"/>
      <c r="E210" s="135"/>
      <c r="F210" s="136"/>
    </row>
    <row r="211" spans="1:6" s="133" customFormat="1" ht="24.6" customHeight="1">
      <c r="A211" s="135"/>
      <c r="B211" s="95" t="s">
        <v>75</v>
      </c>
      <c r="C211" s="132"/>
      <c r="D211" s="132"/>
      <c r="E211" s="135"/>
      <c r="F211" s="136"/>
    </row>
    <row r="212" spans="1:6" s="133" customFormat="1" ht="24.6" customHeight="1">
      <c r="A212" s="135"/>
      <c r="B212" s="95"/>
      <c r="C212" s="132"/>
      <c r="D212" s="132"/>
      <c r="E212" s="135"/>
      <c r="F212" s="136"/>
    </row>
    <row r="213" spans="1:6" s="133" customFormat="1" ht="24.6" customHeight="1">
      <c r="A213" s="135"/>
      <c r="B213" s="115" t="s">
        <v>161</v>
      </c>
      <c r="C213" s="110" t="s">
        <v>137</v>
      </c>
      <c r="D213" s="110">
        <v>43957</v>
      </c>
      <c r="E213" s="100" t="s">
        <v>83</v>
      </c>
      <c r="F213" s="136"/>
    </row>
    <row r="214" spans="1:6" s="133" customFormat="1" ht="24" customHeight="1">
      <c r="A214" s="135"/>
      <c r="B214" s="105" t="s">
        <v>157</v>
      </c>
      <c r="C214" s="132"/>
      <c r="D214" s="132"/>
      <c r="E214" s="135"/>
      <c r="F214" s="136"/>
    </row>
    <row r="215" spans="1:6" s="133" customFormat="1" ht="25.2" customHeight="1">
      <c r="A215" s="135"/>
      <c r="B215" s="105" t="s">
        <v>92</v>
      </c>
      <c r="C215" s="132"/>
      <c r="D215" s="132"/>
      <c r="E215" s="135"/>
      <c r="F215" s="135"/>
    </row>
    <row r="216" spans="1:6" s="133" customFormat="1" ht="25.8" customHeight="1">
      <c r="A216" s="135"/>
      <c r="B216" s="105" t="s">
        <v>96</v>
      </c>
      <c r="C216" s="132"/>
      <c r="D216" s="132"/>
      <c r="E216" s="135"/>
      <c r="F216" s="135"/>
    </row>
    <row r="217" spans="1:6" s="133" customFormat="1" ht="23.4" customHeight="1">
      <c r="A217" s="135"/>
      <c r="B217" s="105" t="s">
        <v>97</v>
      </c>
      <c r="C217" s="132"/>
      <c r="D217" s="132"/>
      <c r="E217" s="135"/>
      <c r="F217" s="135"/>
    </row>
    <row r="218" spans="1:6" s="133" customFormat="1" ht="25.2" customHeight="1">
      <c r="A218" s="135"/>
      <c r="B218" s="105" t="s">
        <v>91</v>
      </c>
      <c r="C218" s="132"/>
      <c r="D218" s="132"/>
      <c r="E218" s="135"/>
      <c r="F218" s="135"/>
    </row>
    <row r="219" spans="1:6" s="133" customFormat="1" ht="25.2" customHeight="1">
      <c r="A219" s="135"/>
      <c r="B219" s="105" t="s">
        <v>98</v>
      </c>
      <c r="C219" s="132"/>
      <c r="D219" s="132"/>
      <c r="E219" s="135"/>
      <c r="F219" s="135"/>
    </row>
    <row r="220" spans="1:6" s="133" customFormat="1" ht="25.2" customHeight="1">
      <c r="A220" s="135"/>
      <c r="B220" s="105"/>
      <c r="C220" s="132"/>
      <c r="D220" s="132"/>
      <c r="E220" s="135"/>
      <c r="F220" s="135"/>
    </row>
    <row r="221" spans="1:6" s="133" customFormat="1" ht="27.6" customHeight="1">
      <c r="A221" s="135"/>
      <c r="B221" s="115" t="s">
        <v>162</v>
      </c>
      <c r="C221" s="110">
        <v>44049</v>
      </c>
      <c r="D221" s="110" t="s">
        <v>108</v>
      </c>
      <c r="E221" s="100" t="s">
        <v>83</v>
      </c>
      <c r="F221" s="136"/>
    </row>
    <row r="222" spans="1:6" s="133" customFormat="1" ht="14.4" customHeight="1">
      <c r="A222" s="135"/>
      <c r="B222" s="135"/>
      <c r="C222" s="132"/>
      <c r="D222" s="132"/>
      <c r="E222" s="136"/>
      <c r="F222" s="136"/>
    </row>
    <row r="223" spans="1:6" s="133" customFormat="1" ht="24" customHeight="1">
      <c r="A223" s="135"/>
      <c r="B223" s="105" t="s">
        <v>138</v>
      </c>
      <c r="C223" s="132"/>
      <c r="D223" s="132"/>
      <c r="E223" s="136"/>
      <c r="F223" s="136"/>
    </row>
    <row r="224" spans="1:6" s="133" customFormat="1" ht="23.4" customHeight="1">
      <c r="A224" s="135"/>
      <c r="B224" s="95" t="s">
        <v>140</v>
      </c>
      <c r="C224" s="132"/>
      <c r="D224" s="132"/>
      <c r="E224" s="136"/>
      <c r="F224" s="136"/>
    </row>
    <row r="225" spans="1:6" s="133" customFormat="1" ht="24.6" customHeight="1">
      <c r="A225" s="135"/>
      <c r="B225" s="105" t="s">
        <v>143</v>
      </c>
      <c r="C225" s="132"/>
      <c r="D225" s="132"/>
      <c r="E225" s="136"/>
      <c r="F225" s="136"/>
    </row>
    <row r="226" spans="1:6" s="133" customFormat="1" ht="25.8" customHeight="1">
      <c r="A226" s="135"/>
      <c r="B226" s="105" t="s">
        <v>142</v>
      </c>
      <c r="C226" s="132"/>
      <c r="D226" s="132"/>
      <c r="E226" s="136"/>
      <c r="F226" s="136"/>
    </row>
    <row r="227" spans="1:6" s="119" customFormat="1" ht="25.8" customHeight="1">
      <c r="A227" s="138"/>
      <c r="B227" s="117" t="s">
        <v>141</v>
      </c>
      <c r="C227" s="144"/>
      <c r="D227" s="144"/>
      <c r="E227" s="138"/>
      <c r="F227" s="138"/>
    </row>
    <row r="228" spans="1:6" s="119" customFormat="1" ht="25.8" customHeight="1">
      <c r="A228" s="138"/>
      <c r="B228" s="117" t="s">
        <v>139</v>
      </c>
      <c r="C228" s="144"/>
      <c r="D228" s="144"/>
      <c r="E228" s="138"/>
      <c r="F228" s="138"/>
    </row>
    <row r="229" spans="1:6" s="133" customFormat="1" ht="15.75" customHeight="1">
      <c r="A229" s="135"/>
      <c r="B229" s="136"/>
      <c r="C229" s="136"/>
      <c r="D229" s="136"/>
      <c r="E229" s="136"/>
      <c r="F229" s="135"/>
    </row>
    <row r="230" spans="1:6" s="119" customFormat="1" ht="28.8" customHeight="1">
      <c r="A230" s="138"/>
      <c r="B230" s="172" t="s">
        <v>182</v>
      </c>
      <c r="C230" s="158" t="s">
        <v>112</v>
      </c>
      <c r="D230" s="158">
        <v>44050</v>
      </c>
      <c r="E230" s="159" t="s">
        <v>181</v>
      </c>
      <c r="F230" s="138"/>
    </row>
    <row r="231" spans="1:6" s="133" customFormat="1" ht="13.8" customHeight="1">
      <c r="A231" s="135"/>
      <c r="B231" s="134"/>
      <c r="C231" s="134"/>
      <c r="D231" s="134"/>
      <c r="E231" s="134"/>
      <c r="F231" s="135"/>
    </row>
    <row r="232" spans="1:6" s="134" customFormat="1" ht="25.2" customHeight="1">
      <c r="A232" s="136"/>
      <c r="B232" s="105" t="s">
        <v>179</v>
      </c>
      <c r="C232" s="136"/>
      <c r="D232" s="136"/>
      <c r="E232" s="136"/>
      <c r="F232" s="136"/>
    </row>
    <row r="233" spans="1:6" s="134" customFormat="1" ht="37.200000000000003" customHeight="1">
      <c r="A233" s="136"/>
      <c r="B233" s="117" t="s">
        <v>180</v>
      </c>
      <c r="C233" s="136"/>
      <c r="D233" s="136"/>
      <c r="E233" s="136"/>
      <c r="F233" s="136"/>
    </row>
  </sheetData>
  <mergeCells count="21">
    <mergeCell ref="AA6:AE6"/>
    <mergeCell ref="V6:Z6"/>
    <mergeCell ref="Q6:U6"/>
    <mergeCell ref="L6:P6"/>
    <mergeCell ref="A6:A7"/>
    <mergeCell ref="B6:B7"/>
    <mergeCell ref="A4:F4"/>
    <mergeCell ref="F6:F7"/>
    <mergeCell ref="E6:E7"/>
    <mergeCell ref="D6:D7"/>
    <mergeCell ref="C6:C7"/>
    <mergeCell ref="A155:A156"/>
    <mergeCell ref="B155:B156"/>
    <mergeCell ref="C155:C156"/>
    <mergeCell ref="D155:D156"/>
    <mergeCell ref="E155:E156"/>
    <mergeCell ref="F155:F156"/>
    <mergeCell ref="L155:P155"/>
    <mergeCell ref="Q155:U155"/>
    <mergeCell ref="V155:Z155"/>
    <mergeCell ref="AA155:AE155"/>
  </mergeCells>
  <conditionalFormatting sqref="F10">
    <cfRule type="colorScale" priority="10">
      <colorScale>
        <cfvo type="percent" val="0"/>
        <cfvo type="percent" val="100"/>
        <color rgb="FFFFFFFF"/>
        <color rgb="FF5CBCD6"/>
      </colorScale>
    </cfRule>
  </conditionalFormatting>
  <conditionalFormatting sqref="F42:F43">
    <cfRule type="colorScale" priority="9">
      <colorScale>
        <cfvo type="percent" val="0"/>
        <cfvo type="percent" val="100"/>
        <color rgb="FFFFFFFF"/>
        <color rgb="FF5CBCD6"/>
      </colorScale>
    </cfRule>
  </conditionalFormatting>
  <conditionalFormatting sqref="F38:F41 F30:F35 F11:F16 F27">
    <cfRule type="colorScale" priority="17">
      <colorScale>
        <cfvo type="percent" val="0"/>
        <cfvo type="percent" val="100"/>
        <color rgb="FFFFFFFF"/>
        <color rgb="FF5CBCD6"/>
      </colorScale>
    </cfRule>
  </conditionalFormatting>
  <conditionalFormatting sqref="F19">
    <cfRule type="colorScale" priority="6">
      <colorScale>
        <cfvo type="percent" val="0"/>
        <cfvo type="percent" val="100"/>
        <color rgb="FFFFFFFF"/>
        <color rgb="FF5CBCD6"/>
      </colorScale>
    </cfRule>
  </conditionalFormatting>
  <conditionalFormatting sqref="F20:F24">
    <cfRule type="colorScale" priority="5">
      <colorScale>
        <cfvo type="percent" val="0"/>
        <cfvo type="percent" val="100"/>
        <color rgb="FFFFFFFF"/>
        <color rgb="FF5CBCD6"/>
      </colorScale>
    </cfRule>
  </conditionalFormatting>
  <conditionalFormatting sqref="F25:F26">
    <cfRule type="colorScale" priority="7">
      <colorScale>
        <cfvo type="percent" val="0"/>
        <cfvo type="percent" val="100"/>
        <color rgb="FFFFFFFF"/>
        <color rgb="FF5CBCD6"/>
      </colorScale>
    </cfRule>
  </conditionalFormatting>
  <conditionalFormatting sqref="F160:F161">
    <cfRule type="colorScale" priority="4">
      <colorScale>
        <cfvo type="percent" val="0"/>
        <cfvo type="percent" val="100"/>
        <color rgb="FFFFFFFF"/>
        <color rgb="FF5CBCD6"/>
      </colorScale>
    </cfRule>
  </conditionalFormatting>
  <conditionalFormatting sqref="F166:F167">
    <cfRule type="colorScale" priority="3">
      <colorScale>
        <cfvo type="percent" val="0"/>
        <cfvo type="percent" val="100"/>
        <color rgb="FFFFFFFF"/>
        <color rgb="FF5CBCD6"/>
      </colorScale>
    </cfRule>
  </conditionalFormatting>
  <dataValidations count="1">
    <dataValidation type="custom" allowBlank="1" showDropDown="1" sqref="D30:D35 D38:D43 C19:D27 C10:D16 C160:D161 D166:D167" xr:uid="{00000000-0002-0000-0100-000000000000}">
      <formula1>OR(NOT(ISERROR(DATEVALUE(C10))), AND(ISNUMBER(C10), LEFT(CELL("format", C10))="D"))</formula1>
    </dataValidation>
  </dataValidation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BO996"/>
  <sheetViews>
    <sheetView showGridLines="0" zoomScale="70" zoomScaleNormal="70" workbookViewId="0">
      <selection activeCell="A3" sqref="A3:XFD3"/>
    </sheetView>
  </sheetViews>
  <sheetFormatPr defaultColWidth="14.44140625" defaultRowHeight="15.75" customHeight="1"/>
  <cols>
    <col min="1" max="1" width="2.77734375" customWidth="1"/>
    <col min="2" max="2" width="35.77734375" customWidth="1"/>
    <col min="3" max="4" width="10.109375" customWidth="1"/>
    <col min="5" max="7" width="12.33203125" customWidth="1"/>
    <col min="8" max="67" width="4.44140625" customWidth="1"/>
  </cols>
  <sheetData>
    <row r="1" spans="1:67" ht="15.75" customHeight="1">
      <c r="A1" s="1"/>
      <c r="B1" s="1"/>
      <c r="C1" s="1"/>
      <c r="D1" s="1"/>
      <c r="E1" s="2"/>
      <c r="F1" s="2"/>
      <c r="G1" s="2"/>
      <c r="H1" s="1"/>
      <c r="I1" s="1"/>
      <c r="J1" s="1"/>
      <c r="K1" s="1"/>
      <c r="L1" s="2"/>
      <c r="M1" s="1"/>
      <c r="N1" s="1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</row>
    <row r="2" spans="1:67" ht="15.75" customHeight="1">
      <c r="A2" s="3"/>
      <c r="B2" s="1"/>
      <c r="C2" s="1"/>
      <c r="D2" s="1"/>
      <c r="E2" s="2"/>
      <c r="F2" s="2"/>
      <c r="G2" s="2"/>
      <c r="H2" s="1"/>
      <c r="I2" s="1"/>
      <c r="J2" s="1"/>
      <c r="K2" s="1"/>
      <c r="L2" s="2"/>
      <c r="M2" s="1"/>
      <c r="N2" s="1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</row>
    <row r="3" spans="1:67" ht="30" customHeight="1">
      <c r="A3" s="243" t="s">
        <v>0</v>
      </c>
      <c r="B3" s="244"/>
      <c r="C3" s="244"/>
      <c r="D3" s="244"/>
      <c r="E3" s="244"/>
      <c r="F3" s="244"/>
      <c r="G3" s="244"/>
      <c r="H3" s="5"/>
      <c r="I3" s="6"/>
      <c r="J3" s="6"/>
      <c r="K3" s="6"/>
      <c r="L3" s="6"/>
      <c r="M3" s="6"/>
      <c r="N3" s="6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5"/>
      <c r="AG3" s="5"/>
      <c r="AH3" s="5"/>
      <c r="AI3" s="5"/>
      <c r="AJ3" s="5"/>
      <c r="AK3" s="5"/>
      <c r="AL3" s="5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</row>
    <row r="4" spans="1:67" ht="15.75" customHeight="1">
      <c r="A4" s="9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</row>
    <row r="5" spans="1:67" ht="15.75" customHeight="1">
      <c r="A5" s="3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</row>
    <row r="6" spans="1:67" ht="14.4">
      <c r="A6" s="216"/>
      <c r="B6" s="216" t="s">
        <v>1</v>
      </c>
      <c r="C6" s="216" t="s">
        <v>2</v>
      </c>
      <c r="D6" s="216" t="s">
        <v>3</v>
      </c>
      <c r="E6" s="216" t="s">
        <v>4</v>
      </c>
      <c r="F6" s="216" t="s">
        <v>5</v>
      </c>
      <c r="G6" s="245" t="s">
        <v>6</v>
      </c>
      <c r="H6" s="240" t="s">
        <v>7</v>
      </c>
      <c r="I6" s="241"/>
      <c r="J6" s="241"/>
      <c r="K6" s="241"/>
      <c r="L6" s="241"/>
      <c r="M6" s="242" t="s">
        <v>8</v>
      </c>
      <c r="N6" s="241"/>
      <c r="O6" s="241"/>
      <c r="P6" s="241"/>
      <c r="Q6" s="241"/>
      <c r="R6" s="240" t="s">
        <v>9</v>
      </c>
      <c r="S6" s="241"/>
      <c r="T6" s="241"/>
      <c r="U6" s="241"/>
      <c r="V6" s="241"/>
      <c r="W6" s="242" t="s">
        <v>10</v>
      </c>
      <c r="X6" s="241"/>
      <c r="Y6" s="241"/>
      <c r="Z6" s="241"/>
      <c r="AA6" s="241"/>
      <c r="AB6" s="240" t="s">
        <v>11</v>
      </c>
      <c r="AC6" s="241"/>
      <c r="AD6" s="241"/>
      <c r="AE6" s="241"/>
      <c r="AF6" s="241"/>
      <c r="AG6" s="242" t="s">
        <v>12</v>
      </c>
      <c r="AH6" s="241"/>
      <c r="AI6" s="241"/>
      <c r="AJ6" s="241"/>
      <c r="AK6" s="241"/>
      <c r="AL6" s="240" t="s">
        <v>13</v>
      </c>
      <c r="AM6" s="241"/>
      <c r="AN6" s="241"/>
      <c r="AO6" s="241"/>
      <c r="AP6" s="241"/>
      <c r="AQ6" s="242" t="s">
        <v>14</v>
      </c>
      <c r="AR6" s="241"/>
      <c r="AS6" s="241"/>
      <c r="AT6" s="241"/>
      <c r="AU6" s="241"/>
      <c r="AV6" s="240" t="s">
        <v>15</v>
      </c>
      <c r="AW6" s="241"/>
      <c r="AX6" s="241"/>
      <c r="AY6" s="241"/>
      <c r="AZ6" s="241"/>
      <c r="BA6" s="242" t="s">
        <v>16</v>
      </c>
      <c r="BB6" s="241"/>
      <c r="BC6" s="241"/>
      <c r="BD6" s="241"/>
      <c r="BE6" s="241"/>
      <c r="BF6" s="240" t="s">
        <v>17</v>
      </c>
      <c r="BG6" s="241"/>
      <c r="BH6" s="241"/>
      <c r="BI6" s="241"/>
      <c r="BJ6" s="241"/>
      <c r="BK6" s="242" t="s">
        <v>18</v>
      </c>
      <c r="BL6" s="241"/>
      <c r="BM6" s="241"/>
      <c r="BN6" s="241"/>
      <c r="BO6" s="241"/>
    </row>
    <row r="7" spans="1:67" ht="14.4">
      <c r="A7" s="217"/>
      <c r="B7" s="217"/>
      <c r="C7" s="217"/>
      <c r="D7" s="217"/>
      <c r="E7" s="217"/>
      <c r="F7" s="217"/>
      <c r="G7" s="246"/>
      <c r="H7" s="10" t="s">
        <v>19</v>
      </c>
      <c r="I7" s="10" t="s">
        <v>20</v>
      </c>
      <c r="J7" s="10" t="s">
        <v>21</v>
      </c>
      <c r="K7" s="11" t="s">
        <v>22</v>
      </c>
      <c r="L7" s="10" t="s">
        <v>23</v>
      </c>
      <c r="M7" s="12" t="s">
        <v>19</v>
      </c>
      <c r="N7" s="12" t="s">
        <v>20</v>
      </c>
      <c r="O7" s="12" t="s">
        <v>21</v>
      </c>
      <c r="P7" s="13" t="s">
        <v>22</v>
      </c>
      <c r="Q7" s="12" t="s">
        <v>23</v>
      </c>
      <c r="R7" s="10" t="s">
        <v>19</v>
      </c>
      <c r="S7" s="10" t="s">
        <v>20</v>
      </c>
      <c r="T7" s="10" t="s">
        <v>21</v>
      </c>
      <c r="U7" s="11" t="s">
        <v>22</v>
      </c>
      <c r="V7" s="10" t="s">
        <v>23</v>
      </c>
      <c r="W7" s="12" t="s">
        <v>19</v>
      </c>
      <c r="X7" s="12" t="s">
        <v>20</v>
      </c>
      <c r="Y7" s="12" t="s">
        <v>21</v>
      </c>
      <c r="Z7" s="13" t="s">
        <v>22</v>
      </c>
      <c r="AA7" s="12" t="s">
        <v>23</v>
      </c>
      <c r="AB7" s="10" t="s">
        <v>19</v>
      </c>
      <c r="AC7" s="10" t="s">
        <v>20</v>
      </c>
      <c r="AD7" s="10" t="s">
        <v>21</v>
      </c>
      <c r="AE7" s="11" t="s">
        <v>22</v>
      </c>
      <c r="AF7" s="10" t="s">
        <v>23</v>
      </c>
      <c r="AG7" s="12" t="s">
        <v>19</v>
      </c>
      <c r="AH7" s="12" t="s">
        <v>20</v>
      </c>
      <c r="AI7" s="12" t="s">
        <v>21</v>
      </c>
      <c r="AJ7" s="13" t="s">
        <v>22</v>
      </c>
      <c r="AK7" s="12" t="s">
        <v>23</v>
      </c>
      <c r="AL7" s="10" t="s">
        <v>19</v>
      </c>
      <c r="AM7" s="10" t="s">
        <v>20</v>
      </c>
      <c r="AN7" s="10" t="s">
        <v>21</v>
      </c>
      <c r="AO7" s="11" t="s">
        <v>22</v>
      </c>
      <c r="AP7" s="10" t="s">
        <v>23</v>
      </c>
      <c r="AQ7" s="12" t="s">
        <v>19</v>
      </c>
      <c r="AR7" s="12" t="s">
        <v>20</v>
      </c>
      <c r="AS7" s="12" t="s">
        <v>21</v>
      </c>
      <c r="AT7" s="13" t="s">
        <v>22</v>
      </c>
      <c r="AU7" s="12" t="s">
        <v>23</v>
      </c>
      <c r="AV7" s="10" t="s">
        <v>19</v>
      </c>
      <c r="AW7" s="10" t="s">
        <v>20</v>
      </c>
      <c r="AX7" s="10" t="s">
        <v>21</v>
      </c>
      <c r="AY7" s="11" t="s">
        <v>22</v>
      </c>
      <c r="AZ7" s="10" t="s">
        <v>23</v>
      </c>
      <c r="BA7" s="12" t="s">
        <v>19</v>
      </c>
      <c r="BB7" s="12" t="s">
        <v>20</v>
      </c>
      <c r="BC7" s="12" t="s">
        <v>21</v>
      </c>
      <c r="BD7" s="13" t="s">
        <v>22</v>
      </c>
      <c r="BE7" s="12" t="s">
        <v>23</v>
      </c>
      <c r="BF7" s="10" t="s">
        <v>19</v>
      </c>
      <c r="BG7" s="10" t="s">
        <v>20</v>
      </c>
      <c r="BH7" s="10" t="s">
        <v>21</v>
      </c>
      <c r="BI7" s="11" t="s">
        <v>22</v>
      </c>
      <c r="BJ7" s="10" t="s">
        <v>23</v>
      </c>
      <c r="BK7" s="12" t="s">
        <v>19</v>
      </c>
      <c r="BL7" s="12" t="s">
        <v>20</v>
      </c>
      <c r="BM7" s="12" t="s">
        <v>21</v>
      </c>
      <c r="BN7" s="13" t="s">
        <v>22</v>
      </c>
      <c r="BO7" s="12" t="s">
        <v>23</v>
      </c>
    </row>
    <row r="8" spans="1:67" ht="15.6">
      <c r="A8" s="14" t="s">
        <v>24</v>
      </c>
      <c r="B8" s="15"/>
      <c r="C8" s="239"/>
      <c r="D8" s="238"/>
      <c r="E8" s="238"/>
      <c r="F8" s="238"/>
      <c r="G8" s="238"/>
      <c r="H8" s="16"/>
      <c r="I8" s="17"/>
      <c r="J8" s="18"/>
      <c r="K8" s="18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</row>
    <row r="9" spans="1:67" ht="14.4">
      <c r="B9" s="19" t="s">
        <v>25</v>
      </c>
      <c r="C9" s="20">
        <v>43105</v>
      </c>
      <c r="D9" s="20">
        <v>43108</v>
      </c>
      <c r="E9" s="21">
        <f t="shared" ref="E9:E14" si="0">NETWORKDAYS(C9,D9)</f>
        <v>2</v>
      </c>
      <c r="F9" s="19" t="s">
        <v>26</v>
      </c>
      <c r="G9" s="22">
        <v>1</v>
      </c>
      <c r="H9" s="23"/>
      <c r="I9" s="24"/>
      <c r="J9" s="25"/>
      <c r="K9" s="25"/>
      <c r="L9" s="25"/>
      <c r="M9" s="26"/>
      <c r="N9" s="26"/>
      <c r="O9" s="26"/>
      <c r="P9" s="26"/>
      <c r="Q9" s="26"/>
      <c r="R9" s="25"/>
      <c r="S9" s="25"/>
      <c r="T9" s="25"/>
      <c r="U9" s="25"/>
      <c r="V9" s="25"/>
      <c r="W9" s="26"/>
      <c r="X9" s="26"/>
      <c r="Y9" s="26"/>
      <c r="Z9" s="26"/>
      <c r="AA9" s="26"/>
      <c r="AB9" s="27"/>
      <c r="AC9" s="27"/>
      <c r="AD9" s="27"/>
      <c r="AE9" s="27"/>
      <c r="AF9" s="27"/>
      <c r="AG9" s="26"/>
      <c r="AH9" s="26"/>
      <c r="AI9" s="26"/>
      <c r="AJ9" s="26"/>
      <c r="AK9" s="26"/>
      <c r="AL9" s="27"/>
      <c r="AM9" s="27"/>
      <c r="AN9" s="27"/>
      <c r="AO9" s="27"/>
      <c r="AP9" s="27"/>
      <c r="AQ9" s="26"/>
      <c r="AR9" s="26"/>
      <c r="AS9" s="26"/>
      <c r="AT9" s="26"/>
      <c r="AU9" s="26"/>
      <c r="AV9" s="25"/>
      <c r="AW9" s="25"/>
      <c r="AX9" s="25"/>
      <c r="AY9" s="25"/>
      <c r="AZ9" s="25"/>
      <c r="BA9" s="26"/>
      <c r="BB9" s="26"/>
      <c r="BC9" s="26"/>
      <c r="BD9" s="26"/>
      <c r="BE9" s="26"/>
      <c r="BF9" s="27"/>
      <c r="BG9" s="27"/>
      <c r="BH9" s="27"/>
      <c r="BI9" s="27"/>
      <c r="BJ9" s="27"/>
      <c r="BK9" s="26"/>
      <c r="BL9" s="26"/>
      <c r="BM9" s="26"/>
      <c r="BN9" s="26"/>
      <c r="BO9" s="28"/>
    </row>
    <row r="10" spans="1:67" ht="14.4">
      <c r="B10" s="19"/>
      <c r="C10" s="20"/>
      <c r="D10" s="20"/>
      <c r="E10" s="21">
        <f t="shared" si="0"/>
        <v>0</v>
      </c>
      <c r="F10" s="19" t="s">
        <v>27</v>
      </c>
      <c r="G10" s="29">
        <v>0.8</v>
      </c>
      <c r="H10" s="23"/>
      <c r="I10" s="24"/>
      <c r="J10" s="25"/>
      <c r="K10" s="25"/>
      <c r="L10" s="25"/>
      <c r="M10" s="30"/>
      <c r="N10" s="30"/>
      <c r="O10" s="26"/>
      <c r="P10" s="26"/>
      <c r="Q10" s="26"/>
      <c r="R10" s="25"/>
      <c r="S10" s="25"/>
      <c r="T10" s="25"/>
      <c r="U10" s="25"/>
      <c r="V10" s="25"/>
      <c r="W10" s="26"/>
      <c r="X10" s="26"/>
      <c r="Y10" s="26"/>
      <c r="Z10" s="26"/>
      <c r="AA10" s="26"/>
      <c r="AB10" s="27"/>
      <c r="AC10" s="27"/>
      <c r="AD10" s="27"/>
      <c r="AE10" s="27"/>
      <c r="AF10" s="27"/>
      <c r="AG10" s="26"/>
      <c r="AH10" s="26"/>
      <c r="AI10" s="26"/>
      <c r="AJ10" s="26"/>
      <c r="AK10" s="26"/>
      <c r="AL10" s="27"/>
      <c r="AM10" s="27"/>
      <c r="AN10" s="27"/>
      <c r="AO10" s="27"/>
      <c r="AP10" s="27"/>
      <c r="AQ10" s="26"/>
      <c r="AR10" s="26"/>
      <c r="AS10" s="26"/>
      <c r="AT10" s="26"/>
      <c r="AU10" s="26"/>
      <c r="AV10" s="25"/>
      <c r="AW10" s="25"/>
      <c r="AX10" s="25"/>
      <c r="AY10" s="25"/>
      <c r="AZ10" s="25"/>
      <c r="BA10" s="26"/>
      <c r="BB10" s="26"/>
      <c r="BC10" s="26"/>
      <c r="BD10" s="26"/>
      <c r="BE10" s="26"/>
      <c r="BF10" s="27"/>
      <c r="BG10" s="27"/>
      <c r="BH10" s="27"/>
      <c r="BI10" s="27"/>
      <c r="BJ10" s="27"/>
      <c r="BK10" s="26"/>
      <c r="BL10" s="26"/>
      <c r="BM10" s="26"/>
      <c r="BN10" s="26"/>
      <c r="BO10" s="28"/>
    </row>
    <row r="11" spans="1:67" ht="14.4">
      <c r="B11" s="19" t="s">
        <v>28</v>
      </c>
      <c r="C11" s="20">
        <v>43111</v>
      </c>
      <c r="D11" s="20">
        <v>43116</v>
      </c>
      <c r="E11" s="21">
        <f t="shared" si="0"/>
        <v>4</v>
      </c>
      <c r="F11" s="19" t="s">
        <v>29</v>
      </c>
      <c r="G11" s="22">
        <v>0.6</v>
      </c>
      <c r="H11" s="23"/>
      <c r="I11" s="24"/>
      <c r="J11" s="25"/>
      <c r="K11" s="25"/>
      <c r="L11" s="31"/>
      <c r="M11" s="31"/>
      <c r="N11" s="31"/>
      <c r="O11" s="31"/>
      <c r="P11" s="31"/>
      <c r="Q11" s="26"/>
      <c r="R11" s="25"/>
      <c r="S11" s="25"/>
      <c r="T11" s="25"/>
      <c r="U11" s="25"/>
      <c r="V11" s="25"/>
      <c r="W11" s="26"/>
      <c r="X11" s="26"/>
      <c r="Y11" s="26"/>
      <c r="Z11" s="26"/>
      <c r="AA11" s="26"/>
      <c r="AB11" s="27"/>
      <c r="AC11" s="27"/>
      <c r="AD11" s="27"/>
      <c r="AE11" s="27"/>
      <c r="AF11" s="27"/>
      <c r="AG11" s="26"/>
      <c r="AH11" s="26"/>
      <c r="AI11" s="26"/>
      <c r="AJ11" s="26"/>
      <c r="AK11" s="26"/>
      <c r="AL11" s="27"/>
      <c r="AM11" s="27"/>
      <c r="AN11" s="27"/>
      <c r="AO11" s="27"/>
      <c r="AP11" s="27"/>
      <c r="AQ11" s="26"/>
      <c r="AR11" s="26"/>
      <c r="AS11" s="26"/>
      <c r="AT11" s="26"/>
      <c r="AU11" s="26"/>
      <c r="AV11" s="25"/>
      <c r="AW11" s="25"/>
      <c r="AX11" s="25"/>
      <c r="AY11" s="25"/>
      <c r="AZ11" s="25"/>
      <c r="BA11" s="26"/>
      <c r="BB11" s="26"/>
      <c r="BC11" s="26"/>
      <c r="BD11" s="26"/>
      <c r="BE11" s="26"/>
      <c r="BF11" s="27"/>
      <c r="BG11" s="27"/>
      <c r="BH11" s="27"/>
      <c r="BI11" s="27"/>
      <c r="BJ11" s="27"/>
      <c r="BK11" s="26"/>
      <c r="BL11" s="26"/>
      <c r="BM11" s="26"/>
      <c r="BN11" s="26"/>
      <c r="BO11" s="28"/>
    </row>
    <row r="12" spans="1:67" ht="14.4">
      <c r="B12" s="19" t="s">
        <v>30</v>
      </c>
      <c r="C12" s="20">
        <v>43114</v>
      </c>
      <c r="D12" s="20">
        <v>43119</v>
      </c>
      <c r="E12" s="21">
        <f t="shared" si="0"/>
        <v>5</v>
      </c>
      <c r="F12" s="19" t="s">
        <v>31</v>
      </c>
      <c r="G12" s="32">
        <v>0.4</v>
      </c>
      <c r="H12" s="23"/>
      <c r="I12" s="24"/>
      <c r="J12" s="25"/>
      <c r="K12" s="25"/>
      <c r="L12" s="25"/>
      <c r="M12" s="26"/>
      <c r="N12" s="31"/>
      <c r="O12" s="31"/>
      <c r="P12" s="31"/>
      <c r="Q12" s="31"/>
      <c r="R12" s="31"/>
      <c r="S12" s="25"/>
      <c r="T12" s="25"/>
      <c r="U12" s="25"/>
      <c r="V12" s="25"/>
      <c r="W12" s="26"/>
      <c r="X12" s="26"/>
      <c r="Y12" s="26"/>
      <c r="Z12" s="26"/>
      <c r="AA12" s="26"/>
      <c r="AB12" s="27"/>
      <c r="AC12" s="27"/>
      <c r="AD12" s="27"/>
      <c r="AE12" s="27"/>
      <c r="AF12" s="27"/>
      <c r="AG12" s="26"/>
      <c r="AH12" s="26"/>
      <c r="AI12" s="26"/>
      <c r="AJ12" s="26"/>
      <c r="AK12" s="26"/>
      <c r="AL12" s="27"/>
      <c r="AM12" s="27"/>
      <c r="AN12" s="27"/>
      <c r="AO12" s="27"/>
      <c r="AP12" s="27"/>
      <c r="AQ12" s="26"/>
      <c r="AR12" s="26"/>
      <c r="AS12" s="26"/>
      <c r="AT12" s="26"/>
      <c r="AU12" s="26"/>
      <c r="AV12" s="25"/>
      <c r="AW12" s="25"/>
      <c r="AX12" s="25"/>
      <c r="AY12" s="25"/>
      <c r="AZ12" s="25"/>
      <c r="BA12" s="26"/>
      <c r="BB12" s="26"/>
      <c r="BC12" s="26"/>
      <c r="BD12" s="26"/>
      <c r="BE12" s="26"/>
      <c r="BF12" s="27"/>
      <c r="BG12" s="27"/>
      <c r="BH12" s="27"/>
      <c r="BI12" s="27"/>
      <c r="BJ12" s="27"/>
      <c r="BK12" s="26"/>
      <c r="BL12" s="26"/>
      <c r="BM12" s="26"/>
      <c r="BN12" s="26"/>
      <c r="BO12" s="28"/>
    </row>
    <row r="13" spans="1:67" ht="14.4">
      <c r="B13" s="19" t="s">
        <v>32</v>
      </c>
      <c r="C13" s="20">
        <v>43117</v>
      </c>
      <c r="D13" s="20">
        <v>43121</v>
      </c>
      <c r="E13" s="21">
        <f t="shared" si="0"/>
        <v>3</v>
      </c>
      <c r="F13" s="19" t="s">
        <v>33</v>
      </c>
      <c r="G13" s="33">
        <v>0.2</v>
      </c>
      <c r="H13" s="23"/>
      <c r="I13" s="24"/>
      <c r="J13" s="25"/>
      <c r="K13" s="25"/>
      <c r="L13" s="25"/>
      <c r="M13" s="26"/>
      <c r="N13" s="26"/>
      <c r="O13" s="26"/>
      <c r="P13" s="31"/>
      <c r="Q13" s="31"/>
      <c r="R13" s="31"/>
      <c r="S13" s="31"/>
      <c r="T13" s="31"/>
      <c r="U13" s="25"/>
      <c r="V13" s="25"/>
      <c r="W13" s="26"/>
      <c r="X13" s="26"/>
      <c r="Y13" s="26"/>
      <c r="Z13" s="26"/>
      <c r="AA13" s="26"/>
      <c r="AB13" s="27"/>
      <c r="AC13" s="27"/>
      <c r="AD13" s="27"/>
      <c r="AE13" s="27"/>
      <c r="AF13" s="27"/>
      <c r="AG13" s="26"/>
      <c r="AH13" s="26"/>
      <c r="AI13" s="26"/>
      <c r="AJ13" s="26"/>
      <c r="AK13" s="26"/>
      <c r="AL13" s="27"/>
      <c r="AM13" s="27"/>
      <c r="AN13" s="27"/>
      <c r="AO13" s="27"/>
      <c r="AP13" s="27"/>
      <c r="AQ13" s="26"/>
      <c r="AR13" s="26"/>
      <c r="AS13" s="26"/>
      <c r="AT13" s="26"/>
      <c r="AU13" s="26"/>
      <c r="AV13" s="25"/>
      <c r="AW13" s="25"/>
      <c r="AX13" s="25"/>
      <c r="AY13" s="25"/>
      <c r="AZ13" s="25"/>
      <c r="BA13" s="26"/>
      <c r="BB13" s="26"/>
      <c r="BC13" s="26"/>
      <c r="BD13" s="26"/>
      <c r="BE13" s="26"/>
      <c r="BF13" s="27"/>
      <c r="BG13" s="27"/>
      <c r="BH13" s="27"/>
      <c r="BI13" s="27"/>
      <c r="BJ13" s="27"/>
      <c r="BK13" s="26"/>
      <c r="BL13" s="26"/>
      <c r="BM13" s="26"/>
      <c r="BN13" s="26"/>
      <c r="BO13" s="28"/>
    </row>
    <row r="14" spans="1:67" ht="14.4">
      <c r="B14" s="19" t="s">
        <v>34</v>
      </c>
      <c r="C14" s="20">
        <v>43120</v>
      </c>
      <c r="D14" s="20">
        <v>43123</v>
      </c>
      <c r="E14" s="21">
        <f t="shared" si="0"/>
        <v>2</v>
      </c>
      <c r="F14" s="19" t="s">
        <v>35</v>
      </c>
      <c r="G14" s="34">
        <v>0.1</v>
      </c>
      <c r="H14" s="23"/>
      <c r="I14" s="24"/>
      <c r="J14" s="25"/>
      <c r="K14" s="25"/>
      <c r="L14" s="25"/>
      <c r="M14" s="26"/>
      <c r="N14" s="26"/>
      <c r="O14" s="26"/>
      <c r="P14" s="26"/>
      <c r="Q14" s="26"/>
      <c r="R14" s="25"/>
      <c r="S14" s="31"/>
      <c r="T14" s="31"/>
      <c r="U14" s="31"/>
      <c r="V14" s="25"/>
      <c r="W14" s="26"/>
      <c r="X14" s="26"/>
      <c r="Y14" s="26"/>
      <c r="Z14" s="26"/>
      <c r="AA14" s="26"/>
      <c r="AB14" s="27"/>
      <c r="AC14" s="27"/>
      <c r="AD14" s="27"/>
      <c r="AE14" s="27"/>
      <c r="AF14" s="27"/>
      <c r="AG14" s="26"/>
      <c r="AH14" s="26"/>
      <c r="AI14" s="26"/>
      <c r="AJ14" s="26"/>
      <c r="AK14" s="26"/>
      <c r="AL14" s="27"/>
      <c r="AM14" s="27"/>
      <c r="AN14" s="27"/>
      <c r="AO14" s="27"/>
      <c r="AP14" s="27"/>
      <c r="AQ14" s="26"/>
      <c r="AR14" s="26"/>
      <c r="AS14" s="26"/>
      <c r="AT14" s="26"/>
      <c r="AU14" s="26"/>
      <c r="AV14" s="25"/>
      <c r="AW14" s="25"/>
      <c r="AX14" s="25"/>
      <c r="AY14" s="25"/>
      <c r="AZ14" s="25"/>
      <c r="BA14" s="26"/>
      <c r="BB14" s="26"/>
      <c r="BC14" s="26"/>
      <c r="BD14" s="26"/>
      <c r="BE14" s="26"/>
      <c r="BF14" s="27"/>
      <c r="BG14" s="27"/>
      <c r="BH14" s="27"/>
      <c r="BI14" s="27"/>
      <c r="BJ14" s="27"/>
      <c r="BK14" s="26"/>
      <c r="BL14" s="26"/>
      <c r="BM14" s="26"/>
      <c r="BN14" s="26"/>
      <c r="BO14" s="28"/>
    </row>
    <row r="15" spans="1:67" ht="15.6">
      <c r="A15" s="14" t="s">
        <v>36</v>
      </c>
      <c r="B15" s="35"/>
      <c r="C15" s="237"/>
      <c r="D15" s="238"/>
      <c r="E15" s="238"/>
      <c r="F15" s="238"/>
      <c r="G15" s="238"/>
      <c r="H15" s="36"/>
      <c r="I15" s="37"/>
      <c r="J15" s="38"/>
      <c r="K15" s="38"/>
      <c r="L15" s="36"/>
      <c r="M15" s="36"/>
      <c r="N15" s="36"/>
      <c r="O15" s="36"/>
      <c r="P15" s="36"/>
      <c r="Q15" s="36"/>
      <c r="R15" s="36"/>
      <c r="S15" s="36"/>
      <c r="T15" s="36"/>
      <c r="U15" s="36"/>
      <c r="V15" s="36"/>
      <c r="W15" s="36"/>
      <c r="X15" s="36"/>
      <c r="Y15" s="36"/>
      <c r="Z15" s="36"/>
      <c r="AA15" s="36"/>
      <c r="AB15" s="36"/>
      <c r="AC15" s="36"/>
      <c r="AD15" s="36"/>
      <c r="AE15" s="36"/>
      <c r="AF15" s="36"/>
      <c r="AG15" s="36"/>
      <c r="AH15" s="36"/>
      <c r="AI15" s="36"/>
      <c r="AJ15" s="36"/>
      <c r="AK15" s="36"/>
      <c r="AL15" s="36"/>
      <c r="AM15" s="36"/>
      <c r="AN15" s="36"/>
      <c r="AO15" s="36"/>
      <c r="AP15" s="36"/>
      <c r="AQ15" s="36"/>
      <c r="AR15" s="36"/>
      <c r="AS15" s="36"/>
      <c r="AT15" s="36"/>
      <c r="AU15" s="36"/>
      <c r="AV15" s="36"/>
      <c r="AW15" s="36"/>
      <c r="AX15" s="36"/>
      <c r="AY15" s="36"/>
      <c r="AZ15" s="36"/>
      <c r="BA15" s="36"/>
      <c r="BB15" s="36"/>
      <c r="BC15" s="36"/>
      <c r="BD15" s="36"/>
      <c r="BE15" s="36"/>
      <c r="BF15" s="36"/>
      <c r="BG15" s="36"/>
      <c r="BH15" s="36"/>
      <c r="BI15" s="36"/>
      <c r="BJ15" s="36"/>
      <c r="BK15" s="36"/>
      <c r="BL15" s="36"/>
      <c r="BM15" s="36"/>
      <c r="BN15" s="36"/>
      <c r="BO15" s="36"/>
    </row>
    <row r="16" spans="1:67" ht="14.4">
      <c r="B16" s="19" t="s">
        <v>37</v>
      </c>
      <c r="C16" s="39">
        <v>43136</v>
      </c>
      <c r="D16" s="39">
        <v>43139</v>
      </c>
      <c r="E16" s="21">
        <f>NETWORKDAYS(C16,D16)</f>
        <v>4</v>
      </c>
      <c r="F16" s="19" t="s">
        <v>26</v>
      </c>
      <c r="G16" s="40">
        <v>1</v>
      </c>
      <c r="H16" s="23"/>
      <c r="I16" s="24"/>
      <c r="J16" s="25"/>
      <c r="K16" s="25"/>
      <c r="L16" s="25"/>
      <c r="M16" s="26"/>
      <c r="N16" s="26"/>
      <c r="O16" s="26"/>
      <c r="P16" s="26"/>
      <c r="Q16" s="26"/>
      <c r="R16" s="25"/>
      <c r="S16" s="25"/>
      <c r="T16" s="25"/>
      <c r="U16" s="25"/>
      <c r="V16" s="25"/>
      <c r="W16" s="26"/>
      <c r="X16" s="26"/>
      <c r="Y16" s="26"/>
      <c r="Z16" s="26"/>
      <c r="AA16" s="26"/>
      <c r="AB16" s="27"/>
      <c r="AC16" s="27"/>
      <c r="AD16" s="27"/>
      <c r="AE16" s="27"/>
      <c r="AF16" s="27"/>
      <c r="AG16" s="26"/>
      <c r="AH16" s="26"/>
      <c r="AI16" s="26"/>
      <c r="AJ16" s="26"/>
      <c r="AK16" s="26"/>
      <c r="AL16" s="27"/>
      <c r="AM16" s="27"/>
      <c r="AN16" s="27"/>
      <c r="AO16" s="27"/>
      <c r="AP16" s="27"/>
      <c r="AQ16" s="26"/>
      <c r="AR16" s="26"/>
      <c r="AS16" s="26"/>
      <c r="AT16" s="26"/>
      <c r="AU16" s="26"/>
      <c r="AV16" s="25"/>
      <c r="AW16" s="25"/>
      <c r="AX16" s="25"/>
      <c r="AY16" s="25"/>
      <c r="AZ16" s="25"/>
      <c r="BA16" s="26"/>
      <c r="BB16" s="26"/>
      <c r="BC16" s="26"/>
      <c r="BD16" s="26"/>
      <c r="BE16" s="26"/>
      <c r="BF16" s="27"/>
      <c r="BG16" s="27"/>
      <c r="BH16" s="27"/>
      <c r="BI16" s="27"/>
      <c r="BJ16" s="27"/>
      <c r="BK16" s="26"/>
      <c r="BL16" s="26"/>
      <c r="BM16" s="26"/>
      <c r="BN16" s="26"/>
      <c r="BO16" s="28"/>
    </row>
    <row r="17" spans="1:67" ht="14.4">
      <c r="B17" s="19" t="s">
        <v>38</v>
      </c>
      <c r="C17" s="39">
        <v>43139</v>
      </c>
      <c r="D17" s="39">
        <v>43144</v>
      </c>
      <c r="E17" s="21">
        <f>NETWORKDAYS(C17,D17)</f>
        <v>4</v>
      </c>
      <c r="F17" s="19" t="s">
        <v>27</v>
      </c>
      <c r="G17" s="41">
        <v>0.8</v>
      </c>
      <c r="H17" s="23"/>
      <c r="I17" s="24"/>
      <c r="J17" s="25"/>
      <c r="K17" s="25"/>
      <c r="L17" s="25"/>
      <c r="M17" s="26"/>
      <c r="N17" s="26"/>
      <c r="O17" s="26"/>
      <c r="P17" s="26"/>
      <c r="Q17" s="26"/>
      <c r="R17" s="25"/>
      <c r="S17" s="25"/>
      <c r="T17" s="25"/>
      <c r="U17" s="25"/>
      <c r="V17" s="25"/>
      <c r="W17" s="26"/>
      <c r="X17" s="26"/>
      <c r="Y17" s="26"/>
      <c r="Z17" s="26"/>
      <c r="AA17" s="26"/>
      <c r="AB17" s="27"/>
      <c r="AC17" s="27"/>
      <c r="AD17" s="27"/>
      <c r="AE17" s="27"/>
      <c r="AF17" s="27"/>
      <c r="AG17" s="26"/>
      <c r="AH17" s="26"/>
      <c r="AI17" s="26"/>
      <c r="AJ17" s="26"/>
      <c r="AK17" s="26"/>
      <c r="AL17" s="27"/>
      <c r="AM17" s="27"/>
      <c r="AN17" s="27"/>
      <c r="AO17" s="27"/>
      <c r="AP17" s="27"/>
      <c r="AQ17" s="26"/>
      <c r="AR17" s="26"/>
      <c r="AS17" s="26"/>
      <c r="AT17" s="26"/>
      <c r="AU17" s="26"/>
      <c r="AV17" s="25"/>
      <c r="AW17" s="25"/>
      <c r="AX17" s="25"/>
      <c r="AY17" s="25"/>
      <c r="AZ17" s="25"/>
      <c r="BA17" s="26"/>
      <c r="BB17" s="26"/>
      <c r="BC17" s="26"/>
      <c r="BD17" s="26"/>
      <c r="BE17" s="26"/>
      <c r="BF17" s="27"/>
      <c r="BG17" s="27"/>
      <c r="BH17" s="27"/>
      <c r="BI17" s="27"/>
      <c r="BJ17" s="27"/>
      <c r="BK17" s="26"/>
      <c r="BL17" s="26"/>
      <c r="BM17" s="26"/>
      <c r="BN17" s="26"/>
      <c r="BO17" s="28"/>
    </row>
    <row r="18" spans="1:67" ht="14.4">
      <c r="B18" s="19" t="s">
        <v>39</v>
      </c>
      <c r="C18" s="39">
        <v>43142</v>
      </c>
      <c r="D18" s="39">
        <v>43147</v>
      </c>
      <c r="E18" s="21">
        <f>NETWORKDAYS(C18,D18)</f>
        <v>5</v>
      </c>
      <c r="F18" s="19" t="s">
        <v>31</v>
      </c>
      <c r="G18" s="42">
        <v>0.6</v>
      </c>
      <c r="H18" s="23"/>
      <c r="I18" s="24"/>
      <c r="J18" s="25"/>
      <c r="K18" s="25"/>
      <c r="L18" s="25"/>
      <c r="M18" s="26"/>
      <c r="N18" s="26"/>
      <c r="O18" s="26"/>
      <c r="P18" s="26"/>
      <c r="Q18" s="26"/>
      <c r="R18" s="25"/>
      <c r="S18" s="25"/>
      <c r="T18" s="25"/>
      <c r="U18" s="25"/>
      <c r="V18" s="25"/>
      <c r="W18" s="26"/>
      <c r="X18" s="26"/>
      <c r="Y18" s="26"/>
      <c r="Z18" s="26"/>
      <c r="AA18" s="26"/>
      <c r="AB18" s="27"/>
      <c r="AC18" s="27"/>
      <c r="AD18" s="27"/>
      <c r="AE18" s="27"/>
      <c r="AF18" s="27"/>
      <c r="AG18" s="26"/>
      <c r="AH18" s="26"/>
      <c r="AI18" s="26"/>
      <c r="AJ18" s="26"/>
      <c r="AK18" s="26"/>
      <c r="AL18" s="27"/>
      <c r="AM18" s="27"/>
      <c r="AN18" s="27"/>
      <c r="AO18" s="27"/>
      <c r="AP18" s="27"/>
      <c r="AQ18" s="26"/>
      <c r="AR18" s="26"/>
      <c r="AS18" s="26"/>
      <c r="AT18" s="26"/>
      <c r="AU18" s="26"/>
      <c r="AV18" s="25"/>
      <c r="AW18" s="25"/>
      <c r="AX18" s="25"/>
      <c r="AY18" s="25"/>
      <c r="AZ18" s="25"/>
      <c r="BA18" s="26"/>
      <c r="BB18" s="26"/>
      <c r="BC18" s="26"/>
      <c r="BD18" s="26"/>
      <c r="BE18" s="26"/>
      <c r="BF18" s="27"/>
      <c r="BG18" s="27"/>
      <c r="BH18" s="27"/>
      <c r="BI18" s="27"/>
      <c r="BJ18" s="27"/>
      <c r="BK18" s="26"/>
      <c r="BL18" s="26"/>
      <c r="BM18" s="26"/>
      <c r="BN18" s="26"/>
      <c r="BO18" s="28"/>
    </row>
    <row r="19" spans="1:67" ht="14.4">
      <c r="B19" s="19" t="s">
        <v>40</v>
      </c>
      <c r="C19" s="39">
        <v>43145</v>
      </c>
      <c r="D19" s="39">
        <v>43154</v>
      </c>
      <c r="E19" s="21">
        <f>NETWORKDAYS(C19,D19)</f>
        <v>8</v>
      </c>
      <c r="F19" s="19" t="s">
        <v>35</v>
      </c>
      <c r="G19" s="42">
        <v>0.4</v>
      </c>
      <c r="H19" s="23"/>
      <c r="I19" s="24"/>
      <c r="J19" s="25"/>
      <c r="K19" s="25"/>
      <c r="L19" s="25"/>
      <c r="M19" s="26"/>
      <c r="N19" s="26"/>
      <c r="O19" s="26"/>
      <c r="P19" s="26"/>
      <c r="Q19" s="26"/>
      <c r="R19" s="25"/>
      <c r="S19" s="25"/>
      <c r="T19" s="25"/>
      <c r="U19" s="25"/>
      <c r="V19" s="25"/>
      <c r="W19" s="26"/>
      <c r="X19" s="26"/>
      <c r="Y19" s="26"/>
      <c r="Z19" s="26"/>
      <c r="AA19" s="26"/>
      <c r="AB19" s="27"/>
      <c r="AC19" s="27"/>
      <c r="AD19" s="27"/>
      <c r="AE19" s="27"/>
      <c r="AF19" s="27"/>
      <c r="AG19" s="26"/>
      <c r="AH19" s="26"/>
      <c r="AI19" s="26"/>
      <c r="AJ19" s="26"/>
      <c r="AK19" s="26"/>
      <c r="AL19" s="27"/>
      <c r="AM19" s="27"/>
      <c r="AN19" s="27"/>
      <c r="AO19" s="27"/>
      <c r="AP19" s="27"/>
      <c r="AQ19" s="26"/>
      <c r="AR19" s="26"/>
      <c r="AS19" s="26"/>
      <c r="AT19" s="26"/>
      <c r="AU19" s="26"/>
      <c r="AV19" s="25"/>
      <c r="AW19" s="25"/>
      <c r="AX19" s="25"/>
      <c r="AY19" s="25"/>
      <c r="AZ19" s="25"/>
      <c r="BA19" s="26"/>
      <c r="BB19" s="26"/>
      <c r="BC19" s="26"/>
      <c r="BD19" s="26"/>
      <c r="BE19" s="26"/>
      <c r="BF19" s="27"/>
      <c r="BG19" s="27"/>
      <c r="BH19" s="27"/>
      <c r="BI19" s="27"/>
      <c r="BJ19" s="27"/>
      <c r="BK19" s="26"/>
      <c r="BL19" s="26"/>
      <c r="BM19" s="26"/>
      <c r="BN19" s="26"/>
      <c r="BO19" s="28"/>
    </row>
    <row r="20" spans="1:67" ht="15.6">
      <c r="A20" s="14" t="s">
        <v>41</v>
      </c>
      <c r="B20" s="35"/>
      <c r="C20" s="237"/>
      <c r="D20" s="238"/>
      <c r="E20" s="238"/>
      <c r="F20" s="238"/>
      <c r="G20" s="238"/>
      <c r="H20" s="36"/>
      <c r="I20" s="37"/>
      <c r="J20" s="38"/>
      <c r="K20" s="38"/>
      <c r="L20" s="36"/>
      <c r="M20" s="43"/>
      <c r="N20" s="43"/>
      <c r="O20" s="43"/>
      <c r="P20" s="43"/>
      <c r="Q20" s="43"/>
      <c r="R20" s="36"/>
      <c r="S20" s="36"/>
      <c r="T20" s="36"/>
      <c r="U20" s="36"/>
      <c r="V20" s="36"/>
      <c r="W20" s="36"/>
      <c r="X20" s="36"/>
      <c r="Y20" s="36"/>
      <c r="Z20" s="36"/>
      <c r="AA20" s="36"/>
      <c r="AB20" s="36"/>
      <c r="AC20" s="36"/>
      <c r="AD20" s="36"/>
      <c r="AE20" s="36"/>
      <c r="AF20" s="36"/>
      <c r="AG20" s="36"/>
      <c r="AH20" s="36"/>
      <c r="AI20" s="36"/>
      <c r="AJ20" s="36"/>
      <c r="AK20" s="36"/>
      <c r="AL20" s="36"/>
      <c r="AM20" s="36"/>
      <c r="AN20" s="36"/>
      <c r="AO20" s="36"/>
      <c r="AP20" s="36"/>
      <c r="AQ20" s="36"/>
      <c r="AR20" s="36"/>
      <c r="AS20" s="36"/>
      <c r="AT20" s="36"/>
      <c r="AU20" s="36"/>
      <c r="AV20" s="36"/>
      <c r="AW20" s="36"/>
      <c r="AX20" s="36"/>
      <c r="AY20" s="36"/>
      <c r="AZ20" s="36"/>
      <c r="BA20" s="36"/>
      <c r="BB20" s="36"/>
      <c r="BC20" s="36"/>
      <c r="BD20" s="36"/>
      <c r="BE20" s="36"/>
      <c r="BF20" s="36"/>
      <c r="BG20" s="36"/>
      <c r="BH20" s="36"/>
      <c r="BI20" s="36"/>
      <c r="BJ20" s="36"/>
      <c r="BK20" s="36"/>
      <c r="BL20" s="36"/>
      <c r="BM20" s="36"/>
      <c r="BN20" s="36"/>
      <c r="BO20" s="36"/>
    </row>
    <row r="21" spans="1:67" ht="14.4">
      <c r="B21" s="19" t="s">
        <v>42</v>
      </c>
      <c r="C21" s="39">
        <v>43164</v>
      </c>
      <c r="D21" s="39">
        <v>43167</v>
      </c>
      <c r="E21" s="21">
        <f t="shared" ref="E21:E26" si="1">NETWORKDAYS(C21,D21)</f>
        <v>4</v>
      </c>
      <c r="F21" s="19" t="s">
        <v>33</v>
      </c>
      <c r="G21" s="42">
        <v>1</v>
      </c>
      <c r="H21" s="23"/>
      <c r="I21" s="24"/>
      <c r="J21" s="25"/>
      <c r="K21" s="25"/>
      <c r="L21" s="25"/>
      <c r="M21" s="26"/>
      <c r="N21" s="26"/>
      <c r="O21" s="26"/>
      <c r="P21" s="26"/>
      <c r="Q21" s="26"/>
      <c r="R21" s="25"/>
      <c r="S21" s="25"/>
      <c r="T21" s="25"/>
      <c r="U21" s="25"/>
      <c r="V21" s="25"/>
      <c r="W21" s="26"/>
      <c r="X21" s="26"/>
      <c r="Y21" s="26"/>
      <c r="Z21" s="26"/>
      <c r="AA21" s="26"/>
      <c r="AB21" s="27"/>
      <c r="AC21" s="27"/>
      <c r="AD21" s="27"/>
      <c r="AE21" s="27"/>
      <c r="AF21" s="27"/>
      <c r="AG21" s="26"/>
      <c r="AH21" s="26"/>
      <c r="AI21" s="26"/>
      <c r="AJ21" s="26"/>
      <c r="AK21" s="26"/>
      <c r="AL21" s="27"/>
      <c r="AM21" s="27"/>
      <c r="AN21" s="27"/>
      <c r="AO21" s="27"/>
      <c r="AP21" s="27"/>
      <c r="AQ21" s="26"/>
      <c r="AR21" s="26"/>
      <c r="AS21" s="26"/>
      <c r="AT21" s="26"/>
      <c r="AU21" s="26"/>
      <c r="AV21" s="25"/>
      <c r="AW21" s="25"/>
      <c r="AX21" s="25"/>
      <c r="AY21" s="25"/>
      <c r="AZ21" s="25"/>
      <c r="BA21" s="26"/>
      <c r="BB21" s="26"/>
      <c r="BC21" s="26"/>
      <c r="BD21" s="26"/>
      <c r="BE21" s="26"/>
      <c r="BF21" s="27"/>
      <c r="BG21" s="27"/>
      <c r="BH21" s="27"/>
      <c r="BI21" s="27"/>
      <c r="BJ21" s="27"/>
      <c r="BK21" s="26"/>
      <c r="BL21" s="26"/>
      <c r="BM21" s="26"/>
      <c r="BN21" s="26"/>
      <c r="BO21" s="28"/>
    </row>
    <row r="22" spans="1:67" ht="28.8">
      <c r="B22" s="19" t="s">
        <v>43</v>
      </c>
      <c r="C22" s="39">
        <v>43167</v>
      </c>
      <c r="D22" s="39">
        <v>43172</v>
      </c>
      <c r="E22" s="21">
        <f t="shared" si="1"/>
        <v>4</v>
      </c>
      <c r="F22" s="19" t="s">
        <v>31</v>
      </c>
      <c r="G22" s="42">
        <v>0.8</v>
      </c>
      <c r="H22" s="23"/>
      <c r="I22" s="24"/>
      <c r="J22" s="25"/>
      <c r="K22" s="25"/>
      <c r="L22" s="25"/>
      <c r="M22" s="26"/>
      <c r="N22" s="26"/>
      <c r="O22" s="26"/>
      <c r="P22" s="26"/>
      <c r="Q22" s="26"/>
      <c r="R22" s="25"/>
      <c r="S22" s="25"/>
      <c r="T22" s="25"/>
      <c r="U22" s="25"/>
      <c r="V22" s="25"/>
      <c r="W22" s="26"/>
      <c r="X22" s="26"/>
      <c r="Y22" s="26"/>
      <c r="Z22" s="26"/>
      <c r="AA22" s="26"/>
      <c r="AB22" s="27"/>
      <c r="AC22" s="27"/>
      <c r="AD22" s="27"/>
      <c r="AE22" s="27"/>
      <c r="AF22" s="27"/>
      <c r="AG22" s="26"/>
      <c r="AH22" s="26"/>
      <c r="AI22" s="26"/>
      <c r="AJ22" s="26"/>
      <c r="AK22" s="26"/>
      <c r="AL22" s="27"/>
      <c r="AM22" s="27"/>
      <c r="AN22" s="27"/>
      <c r="AO22" s="27"/>
      <c r="AP22" s="27"/>
      <c r="AQ22" s="26"/>
      <c r="AR22" s="26"/>
      <c r="AS22" s="26"/>
      <c r="AT22" s="26"/>
      <c r="AU22" s="26"/>
      <c r="AV22" s="25"/>
      <c r="AW22" s="25"/>
      <c r="AX22" s="25"/>
      <c r="AY22" s="25"/>
      <c r="AZ22" s="25"/>
      <c r="BA22" s="26"/>
      <c r="BB22" s="26"/>
      <c r="BC22" s="26"/>
      <c r="BD22" s="26"/>
      <c r="BE22" s="26"/>
      <c r="BF22" s="27"/>
      <c r="BG22" s="27"/>
      <c r="BH22" s="27"/>
      <c r="BI22" s="27"/>
      <c r="BJ22" s="27"/>
      <c r="BK22" s="26"/>
      <c r="BL22" s="26"/>
      <c r="BM22" s="26"/>
      <c r="BN22" s="26"/>
      <c r="BO22" s="28"/>
    </row>
    <row r="23" spans="1:67" ht="14.4">
      <c r="B23" s="19" t="s">
        <v>44</v>
      </c>
      <c r="C23" s="39">
        <v>43170</v>
      </c>
      <c r="D23" s="39">
        <v>43175</v>
      </c>
      <c r="E23" s="21">
        <f t="shared" si="1"/>
        <v>5</v>
      </c>
      <c r="F23" s="19" t="s">
        <v>29</v>
      </c>
      <c r="G23" s="42">
        <v>0.6</v>
      </c>
      <c r="H23" s="23"/>
      <c r="I23" s="24"/>
      <c r="J23" s="25"/>
      <c r="K23" s="25"/>
      <c r="L23" s="25"/>
      <c r="M23" s="26"/>
      <c r="N23" s="26"/>
      <c r="O23" s="26"/>
      <c r="P23" s="26"/>
      <c r="Q23" s="26"/>
      <c r="R23" s="25"/>
      <c r="S23" s="25"/>
      <c r="T23" s="25"/>
      <c r="U23" s="25"/>
      <c r="V23" s="25"/>
      <c r="W23" s="26"/>
      <c r="X23" s="26"/>
      <c r="Y23" s="26"/>
      <c r="Z23" s="26"/>
      <c r="AA23" s="26"/>
      <c r="AB23" s="27"/>
      <c r="AC23" s="27"/>
      <c r="AD23" s="27"/>
      <c r="AE23" s="27"/>
      <c r="AF23" s="27"/>
      <c r="AG23" s="26"/>
      <c r="AH23" s="26"/>
      <c r="AI23" s="26"/>
      <c r="AJ23" s="26"/>
      <c r="AK23" s="26"/>
      <c r="AL23" s="27"/>
      <c r="AM23" s="27"/>
      <c r="AN23" s="27"/>
      <c r="AO23" s="27"/>
      <c r="AP23" s="27"/>
      <c r="AQ23" s="26"/>
      <c r="AR23" s="26"/>
      <c r="AS23" s="26"/>
      <c r="AT23" s="26"/>
      <c r="AU23" s="26"/>
      <c r="AV23" s="25"/>
      <c r="AW23" s="25"/>
      <c r="AX23" s="25"/>
      <c r="AY23" s="25"/>
      <c r="AZ23" s="25"/>
      <c r="BA23" s="26"/>
      <c r="BB23" s="26"/>
      <c r="BC23" s="26"/>
      <c r="BD23" s="26"/>
      <c r="BE23" s="26"/>
      <c r="BF23" s="27"/>
      <c r="BG23" s="27"/>
      <c r="BH23" s="27"/>
      <c r="BI23" s="27"/>
      <c r="BJ23" s="27"/>
      <c r="BK23" s="26"/>
      <c r="BL23" s="26"/>
      <c r="BM23" s="26"/>
      <c r="BN23" s="26"/>
      <c r="BO23" s="28"/>
    </row>
    <row r="24" spans="1:67" ht="14.4">
      <c r="B24" s="19" t="s">
        <v>45</v>
      </c>
      <c r="C24" s="39">
        <v>43173</v>
      </c>
      <c r="D24" s="39">
        <v>43178</v>
      </c>
      <c r="E24" s="21">
        <f t="shared" si="1"/>
        <v>4</v>
      </c>
      <c r="F24" s="19" t="s">
        <v>27</v>
      </c>
      <c r="G24" s="42">
        <v>0.4</v>
      </c>
      <c r="H24" s="23"/>
      <c r="I24" s="24"/>
      <c r="J24" s="25"/>
      <c r="K24" s="25"/>
      <c r="L24" s="25"/>
      <c r="M24" s="26"/>
      <c r="N24" s="26"/>
      <c r="O24" s="26"/>
      <c r="P24" s="26"/>
      <c r="Q24" s="26"/>
      <c r="R24" s="25"/>
      <c r="S24" s="25"/>
      <c r="T24" s="25"/>
      <c r="U24" s="25"/>
      <c r="V24" s="25"/>
      <c r="W24" s="26"/>
      <c r="X24" s="26"/>
      <c r="Y24" s="26"/>
      <c r="Z24" s="26"/>
      <c r="AA24" s="26"/>
      <c r="AB24" s="27"/>
      <c r="AC24" s="27"/>
      <c r="AD24" s="27"/>
      <c r="AE24" s="27"/>
      <c r="AF24" s="27"/>
      <c r="AG24" s="26"/>
      <c r="AH24" s="26"/>
      <c r="AI24" s="26"/>
      <c r="AJ24" s="26"/>
      <c r="AK24" s="26"/>
      <c r="AL24" s="27"/>
      <c r="AM24" s="27"/>
      <c r="AN24" s="27"/>
      <c r="AO24" s="27"/>
      <c r="AP24" s="27"/>
      <c r="AQ24" s="26"/>
      <c r="AR24" s="26"/>
      <c r="AS24" s="26"/>
      <c r="AT24" s="26"/>
      <c r="AU24" s="26"/>
      <c r="AV24" s="25"/>
      <c r="AW24" s="25"/>
      <c r="AX24" s="25"/>
      <c r="AY24" s="25"/>
      <c r="AZ24" s="25"/>
      <c r="BA24" s="26"/>
      <c r="BB24" s="26"/>
      <c r="BC24" s="26"/>
      <c r="BD24" s="26"/>
      <c r="BE24" s="26"/>
      <c r="BF24" s="27"/>
      <c r="BG24" s="27"/>
      <c r="BH24" s="27"/>
      <c r="BI24" s="27"/>
      <c r="BJ24" s="27"/>
      <c r="BK24" s="26"/>
      <c r="BL24" s="26"/>
      <c r="BM24" s="26"/>
      <c r="BN24" s="26"/>
      <c r="BO24" s="28"/>
    </row>
    <row r="25" spans="1:67" ht="14.4">
      <c r="B25" s="19" t="s">
        <v>46</v>
      </c>
      <c r="C25" s="39">
        <v>43176</v>
      </c>
      <c r="D25" s="39">
        <v>43180</v>
      </c>
      <c r="E25" s="21">
        <f t="shared" si="1"/>
        <v>3</v>
      </c>
      <c r="F25" s="19" t="s">
        <v>35</v>
      </c>
      <c r="G25" s="42">
        <v>0.2</v>
      </c>
      <c r="H25" s="23"/>
      <c r="I25" s="24"/>
      <c r="J25" s="25"/>
      <c r="K25" s="25"/>
      <c r="L25" s="25"/>
      <c r="M25" s="26"/>
      <c r="N25" s="26"/>
      <c r="O25" s="26"/>
      <c r="P25" s="26"/>
      <c r="Q25" s="26"/>
      <c r="R25" s="25"/>
      <c r="S25" s="25"/>
      <c r="T25" s="25"/>
      <c r="U25" s="25"/>
      <c r="V25" s="25"/>
      <c r="W25" s="26"/>
      <c r="X25" s="26"/>
      <c r="Y25" s="26"/>
      <c r="Z25" s="26"/>
      <c r="AA25" s="26"/>
      <c r="AB25" s="27"/>
      <c r="AC25" s="27"/>
      <c r="AD25" s="27"/>
      <c r="AE25" s="27"/>
      <c r="AF25" s="27"/>
      <c r="AG25" s="26"/>
      <c r="AH25" s="26"/>
      <c r="AI25" s="26"/>
      <c r="AJ25" s="26"/>
      <c r="AK25" s="26"/>
      <c r="AL25" s="27"/>
      <c r="AM25" s="27"/>
      <c r="AN25" s="27"/>
      <c r="AO25" s="27"/>
      <c r="AP25" s="27"/>
      <c r="AQ25" s="26"/>
      <c r="AR25" s="26"/>
      <c r="AS25" s="26"/>
      <c r="AT25" s="26"/>
      <c r="AU25" s="26"/>
      <c r="AV25" s="25"/>
      <c r="AW25" s="25"/>
      <c r="AX25" s="25"/>
      <c r="AY25" s="25"/>
      <c r="AZ25" s="25"/>
      <c r="BA25" s="26"/>
      <c r="BB25" s="26"/>
      <c r="BC25" s="26"/>
      <c r="BD25" s="26"/>
      <c r="BE25" s="26"/>
      <c r="BF25" s="27"/>
      <c r="BG25" s="27"/>
      <c r="BH25" s="27"/>
      <c r="BI25" s="27"/>
      <c r="BJ25" s="27"/>
      <c r="BK25" s="26"/>
      <c r="BL25" s="26"/>
      <c r="BM25" s="26"/>
      <c r="BN25" s="26"/>
      <c r="BO25" s="28"/>
    </row>
    <row r="26" spans="1:67" ht="14.4">
      <c r="B26" s="19" t="s">
        <v>47</v>
      </c>
      <c r="C26" s="39">
        <v>43179</v>
      </c>
      <c r="D26" s="39">
        <v>43184</v>
      </c>
      <c r="E26" s="21">
        <f t="shared" si="1"/>
        <v>4</v>
      </c>
      <c r="F26" s="19" t="s">
        <v>26</v>
      </c>
      <c r="G26" s="42">
        <v>0.1</v>
      </c>
      <c r="H26" s="23"/>
      <c r="I26" s="24"/>
      <c r="J26" s="25"/>
      <c r="K26" s="25"/>
      <c r="L26" s="25"/>
      <c r="M26" s="26"/>
      <c r="N26" s="26"/>
      <c r="O26" s="26"/>
      <c r="P26" s="26"/>
      <c r="Q26" s="26"/>
      <c r="R26" s="25"/>
      <c r="S26" s="25"/>
      <c r="T26" s="25"/>
      <c r="U26" s="25"/>
      <c r="V26" s="25"/>
      <c r="W26" s="26"/>
      <c r="X26" s="26"/>
      <c r="Y26" s="26"/>
      <c r="Z26" s="26"/>
      <c r="AA26" s="26"/>
      <c r="AB26" s="27"/>
      <c r="AC26" s="27"/>
      <c r="AD26" s="27"/>
      <c r="AE26" s="27"/>
      <c r="AF26" s="27"/>
      <c r="AG26" s="26"/>
      <c r="AH26" s="26"/>
      <c r="AI26" s="26"/>
      <c r="AJ26" s="26"/>
      <c r="AK26" s="26"/>
      <c r="AL26" s="27"/>
      <c r="AM26" s="27"/>
      <c r="AN26" s="27"/>
      <c r="AO26" s="27"/>
      <c r="AP26" s="27"/>
      <c r="AQ26" s="26"/>
      <c r="AR26" s="26"/>
      <c r="AS26" s="26"/>
      <c r="AT26" s="26"/>
      <c r="AU26" s="26"/>
      <c r="AV26" s="25"/>
      <c r="AW26" s="25"/>
      <c r="AX26" s="25"/>
      <c r="AY26" s="25"/>
      <c r="AZ26" s="25"/>
      <c r="BA26" s="26"/>
      <c r="BB26" s="26"/>
      <c r="BC26" s="26"/>
      <c r="BD26" s="26"/>
      <c r="BE26" s="26"/>
      <c r="BF26" s="27"/>
      <c r="BG26" s="27"/>
      <c r="BH26" s="27"/>
      <c r="BI26" s="27"/>
      <c r="BJ26" s="27"/>
      <c r="BK26" s="26"/>
      <c r="BL26" s="26"/>
      <c r="BM26" s="26"/>
      <c r="BN26" s="26"/>
      <c r="BO26" s="28"/>
    </row>
    <row r="27" spans="1:67" ht="15.6">
      <c r="A27" s="14" t="s">
        <v>48</v>
      </c>
      <c r="B27" s="35"/>
      <c r="C27" s="237"/>
      <c r="D27" s="238"/>
      <c r="E27" s="238"/>
      <c r="F27" s="238"/>
      <c r="G27" s="238"/>
      <c r="H27" s="36"/>
      <c r="I27" s="37"/>
      <c r="J27" s="38"/>
      <c r="K27" s="38"/>
      <c r="L27" s="36"/>
      <c r="M27" s="36"/>
      <c r="N27" s="36"/>
      <c r="O27" s="36"/>
      <c r="P27" s="36"/>
      <c r="Q27" s="36"/>
      <c r="R27" s="36"/>
      <c r="S27" s="36"/>
      <c r="T27" s="36"/>
      <c r="U27" s="36"/>
      <c r="V27" s="36"/>
      <c r="W27" s="36"/>
      <c r="X27" s="36"/>
      <c r="Y27" s="36"/>
      <c r="Z27" s="36"/>
      <c r="AA27" s="36"/>
      <c r="AB27" s="36"/>
      <c r="AC27" s="36"/>
      <c r="AD27" s="36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T27" s="36"/>
      <c r="AU27" s="36"/>
      <c r="AV27" s="36"/>
      <c r="AW27" s="36"/>
      <c r="AX27" s="36"/>
      <c r="AY27" s="36"/>
      <c r="AZ27" s="36"/>
      <c r="BA27" s="36"/>
      <c r="BB27" s="36"/>
      <c r="BC27" s="36"/>
      <c r="BD27" s="36"/>
      <c r="BE27" s="36"/>
      <c r="BF27" s="36"/>
      <c r="BG27" s="36"/>
      <c r="BH27" s="36"/>
      <c r="BI27" s="36"/>
      <c r="BJ27" s="36"/>
      <c r="BK27" s="36"/>
      <c r="BL27" s="36"/>
      <c r="BM27" s="36"/>
      <c r="BN27" s="36"/>
      <c r="BO27" s="36"/>
    </row>
    <row r="28" spans="1:67" ht="14.4">
      <c r="B28" s="19" t="s">
        <v>50</v>
      </c>
      <c r="C28" s="39">
        <v>43195</v>
      </c>
      <c r="D28" s="39">
        <v>43198</v>
      </c>
      <c r="E28" s="21">
        <f>NETWORKDAYS(C28,D28)</f>
        <v>2</v>
      </c>
      <c r="F28" s="19" t="s">
        <v>26</v>
      </c>
      <c r="G28" s="42">
        <v>1</v>
      </c>
      <c r="H28" s="23"/>
      <c r="I28" s="24"/>
      <c r="J28" s="25"/>
      <c r="K28" s="25"/>
      <c r="L28" s="25"/>
      <c r="M28" s="26"/>
      <c r="N28" s="26"/>
      <c r="O28" s="26"/>
      <c r="P28" s="26"/>
      <c r="Q28" s="26"/>
      <c r="R28" s="25"/>
      <c r="S28" s="25"/>
      <c r="T28" s="25"/>
      <c r="U28" s="25"/>
      <c r="V28" s="25"/>
      <c r="W28" s="26"/>
      <c r="X28" s="26"/>
      <c r="Y28" s="26"/>
      <c r="Z28" s="26"/>
      <c r="AA28" s="26"/>
      <c r="AB28" s="27"/>
      <c r="AC28" s="27"/>
      <c r="AD28" s="27"/>
      <c r="AE28" s="27"/>
      <c r="AF28" s="27"/>
      <c r="AG28" s="26"/>
      <c r="AH28" s="26"/>
      <c r="AI28" s="26"/>
      <c r="AJ28" s="26"/>
      <c r="AK28" s="26"/>
      <c r="AL28" s="27"/>
      <c r="AM28" s="27"/>
      <c r="AN28" s="27"/>
      <c r="AO28" s="27"/>
      <c r="AP28" s="27"/>
      <c r="AQ28" s="26"/>
      <c r="AR28" s="26"/>
      <c r="AS28" s="26"/>
      <c r="AT28" s="26"/>
      <c r="AU28" s="26"/>
      <c r="AV28" s="25"/>
      <c r="AW28" s="25"/>
      <c r="AX28" s="25"/>
      <c r="AY28" s="25"/>
      <c r="AZ28" s="25"/>
      <c r="BA28" s="26"/>
      <c r="BB28" s="26"/>
      <c r="BC28" s="26"/>
      <c r="BD28" s="26"/>
      <c r="BE28" s="26"/>
      <c r="BF28" s="27"/>
      <c r="BG28" s="27"/>
      <c r="BH28" s="27"/>
      <c r="BI28" s="27"/>
      <c r="BJ28" s="27"/>
      <c r="BK28" s="26"/>
      <c r="BL28" s="26"/>
      <c r="BM28" s="26"/>
      <c r="BN28" s="26"/>
      <c r="BO28" s="28"/>
    </row>
    <row r="29" spans="1:67" ht="14.4">
      <c r="B29" s="19" t="s">
        <v>52</v>
      </c>
      <c r="C29" s="39">
        <v>43198</v>
      </c>
      <c r="D29" s="39">
        <v>43200</v>
      </c>
      <c r="E29" s="21">
        <f>NETWORKDAYS(C29,D29)</f>
        <v>2</v>
      </c>
      <c r="F29" s="19" t="s">
        <v>27</v>
      </c>
      <c r="G29" s="42">
        <v>0.8</v>
      </c>
      <c r="H29" s="23"/>
      <c r="I29" s="24"/>
      <c r="J29" s="25"/>
      <c r="K29" s="25"/>
      <c r="L29" s="25"/>
      <c r="M29" s="26"/>
      <c r="N29" s="26"/>
      <c r="O29" s="26"/>
      <c r="P29" s="26"/>
      <c r="Q29" s="26"/>
      <c r="R29" s="25"/>
      <c r="S29" s="25"/>
      <c r="T29" s="25"/>
      <c r="U29" s="25"/>
      <c r="V29" s="25"/>
      <c r="W29" s="26"/>
      <c r="X29" s="26"/>
      <c r="Y29" s="26"/>
      <c r="Z29" s="26"/>
      <c r="AA29" s="26"/>
      <c r="AB29" s="27"/>
      <c r="AC29" s="27"/>
      <c r="AD29" s="27"/>
      <c r="AE29" s="27"/>
      <c r="AF29" s="27"/>
      <c r="AG29" s="26"/>
      <c r="AH29" s="26"/>
      <c r="AI29" s="26"/>
      <c r="AJ29" s="26"/>
      <c r="AK29" s="26"/>
      <c r="AL29" s="27"/>
      <c r="AM29" s="27"/>
      <c r="AN29" s="27"/>
      <c r="AO29" s="27"/>
      <c r="AP29" s="27"/>
      <c r="AQ29" s="26"/>
      <c r="AR29" s="26"/>
      <c r="AS29" s="26"/>
      <c r="AT29" s="26"/>
      <c r="AU29" s="26"/>
      <c r="AV29" s="25"/>
      <c r="AW29" s="25"/>
      <c r="AX29" s="25"/>
      <c r="AY29" s="25"/>
      <c r="AZ29" s="25"/>
      <c r="BA29" s="26"/>
      <c r="BB29" s="26"/>
      <c r="BC29" s="26"/>
      <c r="BD29" s="26"/>
      <c r="BE29" s="26"/>
      <c r="BF29" s="27"/>
      <c r="BG29" s="27"/>
      <c r="BH29" s="27"/>
      <c r="BI29" s="27"/>
      <c r="BJ29" s="27"/>
      <c r="BK29" s="26"/>
      <c r="BL29" s="26"/>
      <c r="BM29" s="26"/>
      <c r="BN29" s="26"/>
      <c r="BO29" s="28"/>
    </row>
    <row r="30" spans="1:67" ht="14.4">
      <c r="B30" s="19" t="s">
        <v>56</v>
      </c>
      <c r="C30" s="39">
        <v>43201</v>
      </c>
      <c r="D30" s="39">
        <v>43206</v>
      </c>
      <c r="E30" s="21">
        <f>NETWORKDAYS(C30,D30)</f>
        <v>4</v>
      </c>
      <c r="F30" s="19" t="s">
        <v>31</v>
      </c>
      <c r="G30" s="42">
        <v>0.6</v>
      </c>
      <c r="H30" s="23"/>
      <c r="I30" s="24"/>
      <c r="J30" s="25"/>
      <c r="K30" s="25"/>
      <c r="L30" s="25"/>
      <c r="M30" s="26"/>
      <c r="N30" s="26"/>
      <c r="O30" s="26"/>
      <c r="P30" s="26"/>
      <c r="Q30" s="26"/>
      <c r="R30" s="25"/>
      <c r="S30" s="25"/>
      <c r="T30" s="25"/>
      <c r="U30" s="25"/>
      <c r="V30" s="25"/>
      <c r="W30" s="26"/>
      <c r="X30" s="26"/>
      <c r="Y30" s="26"/>
      <c r="Z30" s="26"/>
      <c r="AA30" s="26"/>
      <c r="AB30" s="27"/>
      <c r="AC30" s="27"/>
      <c r="AD30" s="27"/>
      <c r="AE30" s="27"/>
      <c r="AF30" s="27"/>
      <c r="AG30" s="26"/>
      <c r="AH30" s="26"/>
      <c r="AI30" s="26"/>
      <c r="AJ30" s="26"/>
      <c r="AK30" s="26"/>
      <c r="AL30" s="27"/>
      <c r="AM30" s="27"/>
      <c r="AN30" s="27"/>
      <c r="AO30" s="27"/>
      <c r="AP30" s="27"/>
      <c r="AQ30" s="26"/>
      <c r="AR30" s="26"/>
      <c r="AS30" s="26"/>
      <c r="AT30" s="26"/>
      <c r="AU30" s="26"/>
      <c r="AV30" s="25"/>
      <c r="AW30" s="25"/>
      <c r="AX30" s="25"/>
      <c r="AY30" s="25"/>
      <c r="AZ30" s="25"/>
      <c r="BA30" s="26"/>
      <c r="BB30" s="26"/>
      <c r="BC30" s="26"/>
      <c r="BD30" s="26"/>
      <c r="BE30" s="26"/>
      <c r="BF30" s="27"/>
      <c r="BG30" s="27"/>
      <c r="BH30" s="27"/>
      <c r="BI30" s="27"/>
      <c r="BJ30" s="27"/>
      <c r="BK30" s="26"/>
      <c r="BL30" s="26"/>
      <c r="BM30" s="26"/>
      <c r="BN30" s="26"/>
      <c r="BO30" s="28"/>
    </row>
    <row r="31" spans="1:67" ht="14.4">
      <c r="B31" s="19" t="s">
        <v>57</v>
      </c>
      <c r="C31" s="39">
        <v>43204</v>
      </c>
      <c r="D31" s="39">
        <v>43208</v>
      </c>
      <c r="E31" s="21">
        <f>NETWORKDAYS(C31,D31)</f>
        <v>3</v>
      </c>
      <c r="F31" s="19" t="s">
        <v>33</v>
      </c>
      <c r="G31" s="42">
        <v>0.4</v>
      </c>
      <c r="H31" s="23"/>
      <c r="I31" s="24"/>
      <c r="J31" s="25"/>
      <c r="K31" s="25"/>
      <c r="L31" s="25"/>
      <c r="M31" s="26"/>
      <c r="N31" s="26"/>
      <c r="O31" s="26"/>
      <c r="P31" s="26"/>
      <c r="Q31" s="26"/>
      <c r="R31" s="25"/>
      <c r="S31" s="25"/>
      <c r="T31" s="25"/>
      <c r="U31" s="25"/>
      <c r="V31" s="25"/>
      <c r="W31" s="26"/>
      <c r="X31" s="26"/>
      <c r="Y31" s="26"/>
      <c r="Z31" s="26"/>
      <c r="AA31" s="26"/>
      <c r="AB31" s="27"/>
      <c r="AC31" s="27"/>
      <c r="AD31" s="27"/>
      <c r="AE31" s="27"/>
      <c r="AF31" s="27"/>
      <c r="AG31" s="26"/>
      <c r="AH31" s="26"/>
      <c r="AI31" s="26"/>
      <c r="AJ31" s="26"/>
      <c r="AK31" s="26"/>
      <c r="AL31" s="27"/>
      <c r="AM31" s="27"/>
      <c r="AN31" s="27"/>
      <c r="AO31" s="27"/>
      <c r="AP31" s="27"/>
      <c r="AQ31" s="26"/>
      <c r="AR31" s="26"/>
      <c r="AS31" s="26"/>
      <c r="AT31" s="26"/>
      <c r="AU31" s="26"/>
      <c r="AV31" s="25"/>
      <c r="AW31" s="25"/>
      <c r="AX31" s="25"/>
      <c r="AY31" s="25"/>
      <c r="AZ31" s="25"/>
      <c r="BA31" s="26"/>
      <c r="BB31" s="26"/>
      <c r="BC31" s="26"/>
      <c r="BD31" s="26"/>
      <c r="BE31" s="26"/>
      <c r="BF31" s="27"/>
      <c r="BG31" s="27"/>
      <c r="BH31" s="27"/>
      <c r="BI31" s="27"/>
      <c r="BJ31" s="27"/>
      <c r="BK31" s="26"/>
      <c r="BL31" s="26"/>
      <c r="BM31" s="26"/>
      <c r="BN31" s="26"/>
      <c r="BO31" s="28"/>
    </row>
    <row r="32" spans="1:67" ht="15.75" customHeight="1">
      <c r="A32" s="51"/>
      <c r="B32" s="2"/>
      <c r="C32" s="2"/>
      <c r="D32" s="2"/>
      <c r="E32" s="2"/>
      <c r="F32" s="2"/>
      <c r="G32" s="2"/>
    </row>
    <row r="33" spans="1:7" ht="15.75" customHeight="1">
      <c r="A33" s="51"/>
      <c r="B33" s="2"/>
      <c r="C33" s="2"/>
      <c r="D33" s="2"/>
      <c r="E33" s="2"/>
      <c r="F33" s="2"/>
      <c r="G33" s="2"/>
    </row>
    <row r="34" spans="1:7" ht="15.75" customHeight="1">
      <c r="A34" s="51"/>
      <c r="B34" s="2"/>
      <c r="C34" s="2"/>
      <c r="D34" s="2"/>
      <c r="E34" s="2"/>
      <c r="F34" s="2"/>
      <c r="G34" s="2"/>
    </row>
    <row r="35" spans="1:7" ht="15.75" customHeight="1">
      <c r="A35" s="53"/>
    </row>
    <row r="36" spans="1:7" ht="13.2">
      <c r="A36" s="53"/>
    </row>
    <row r="37" spans="1:7" ht="13.2">
      <c r="A37" s="53"/>
    </row>
    <row r="38" spans="1:7" ht="13.2">
      <c r="A38" s="53"/>
    </row>
    <row r="39" spans="1:7" ht="13.2">
      <c r="A39" s="53"/>
    </row>
    <row r="40" spans="1:7" ht="13.2">
      <c r="A40" s="53"/>
    </row>
    <row r="41" spans="1:7" ht="13.2">
      <c r="A41" s="53"/>
    </row>
    <row r="42" spans="1:7" ht="13.2">
      <c r="A42" s="53"/>
    </row>
    <row r="43" spans="1:7" ht="13.2">
      <c r="A43" s="53"/>
    </row>
    <row r="44" spans="1:7" ht="13.2">
      <c r="A44" s="53"/>
    </row>
    <row r="45" spans="1:7" ht="13.2">
      <c r="A45" s="53"/>
    </row>
    <row r="46" spans="1:7" ht="13.2">
      <c r="A46" s="53"/>
    </row>
    <row r="47" spans="1:7" ht="13.2">
      <c r="A47" s="53"/>
    </row>
    <row r="48" spans="1:7" ht="13.2">
      <c r="A48" s="53"/>
    </row>
    <row r="49" spans="1:1" ht="13.2">
      <c r="A49" s="53"/>
    </row>
    <row r="50" spans="1:1" ht="13.2">
      <c r="A50" s="53"/>
    </row>
    <row r="51" spans="1:1" ht="13.2">
      <c r="A51" s="53"/>
    </row>
    <row r="52" spans="1:1" ht="13.2">
      <c r="A52" s="53"/>
    </row>
    <row r="53" spans="1:1" ht="13.2">
      <c r="A53" s="53"/>
    </row>
    <row r="54" spans="1:1" ht="13.2">
      <c r="A54" s="53"/>
    </row>
    <row r="55" spans="1:1" ht="13.2">
      <c r="A55" s="53"/>
    </row>
    <row r="56" spans="1:1" ht="13.2">
      <c r="A56" s="53"/>
    </row>
    <row r="57" spans="1:1" ht="13.2">
      <c r="A57" s="53"/>
    </row>
    <row r="58" spans="1:1" ht="13.2">
      <c r="A58" s="53"/>
    </row>
    <row r="59" spans="1:1" ht="13.2">
      <c r="A59" s="53"/>
    </row>
    <row r="60" spans="1:1" ht="13.2">
      <c r="A60" s="53"/>
    </row>
    <row r="61" spans="1:1" ht="13.2">
      <c r="A61" s="53"/>
    </row>
    <row r="62" spans="1:1" ht="13.2">
      <c r="A62" s="53"/>
    </row>
    <row r="63" spans="1:1" ht="13.2">
      <c r="A63" s="53"/>
    </row>
    <row r="64" spans="1:1" ht="13.2">
      <c r="A64" s="53"/>
    </row>
    <row r="65" spans="1:1" ht="13.2">
      <c r="A65" s="53"/>
    </row>
    <row r="66" spans="1:1" ht="13.2">
      <c r="A66" s="53"/>
    </row>
    <row r="67" spans="1:1" ht="13.2">
      <c r="A67" s="53"/>
    </row>
    <row r="68" spans="1:1" ht="13.2">
      <c r="A68" s="53"/>
    </row>
    <row r="69" spans="1:1" ht="13.2">
      <c r="A69" s="53"/>
    </row>
    <row r="70" spans="1:1" ht="13.2">
      <c r="A70" s="53"/>
    </row>
    <row r="71" spans="1:1" ht="13.2">
      <c r="A71" s="53"/>
    </row>
    <row r="72" spans="1:1" ht="13.2">
      <c r="A72" s="53"/>
    </row>
    <row r="73" spans="1:1" ht="13.2">
      <c r="A73" s="53"/>
    </row>
    <row r="74" spans="1:1" ht="13.2">
      <c r="A74" s="53"/>
    </row>
    <row r="75" spans="1:1" ht="13.2">
      <c r="A75" s="53"/>
    </row>
    <row r="76" spans="1:1" ht="13.2">
      <c r="A76" s="53"/>
    </row>
    <row r="77" spans="1:1" ht="13.2">
      <c r="A77" s="53"/>
    </row>
    <row r="78" spans="1:1" ht="13.2">
      <c r="A78" s="53"/>
    </row>
    <row r="79" spans="1:1" ht="13.2">
      <c r="A79" s="53"/>
    </row>
    <row r="80" spans="1:1" ht="13.2">
      <c r="A80" s="53"/>
    </row>
    <row r="81" spans="1:1" ht="13.2">
      <c r="A81" s="53"/>
    </row>
    <row r="82" spans="1:1" ht="13.2">
      <c r="A82" s="53"/>
    </row>
    <row r="83" spans="1:1" ht="13.2">
      <c r="A83" s="53"/>
    </row>
    <row r="84" spans="1:1" ht="13.2">
      <c r="A84" s="53"/>
    </row>
    <row r="85" spans="1:1" ht="13.2">
      <c r="A85" s="53"/>
    </row>
    <row r="86" spans="1:1" ht="13.2">
      <c r="A86" s="53"/>
    </row>
    <row r="87" spans="1:1" ht="13.2">
      <c r="A87" s="53"/>
    </row>
    <row r="88" spans="1:1" ht="13.2">
      <c r="A88" s="53"/>
    </row>
    <row r="89" spans="1:1" ht="13.2">
      <c r="A89" s="53"/>
    </row>
    <row r="90" spans="1:1" ht="13.2">
      <c r="A90" s="53"/>
    </row>
    <row r="91" spans="1:1" ht="13.2">
      <c r="A91" s="53"/>
    </row>
    <row r="92" spans="1:1" ht="13.2">
      <c r="A92" s="53"/>
    </row>
    <row r="93" spans="1:1" ht="13.2">
      <c r="A93" s="53"/>
    </row>
    <row r="94" spans="1:1" ht="13.2">
      <c r="A94" s="53"/>
    </row>
    <row r="95" spans="1:1" ht="13.2">
      <c r="A95" s="53"/>
    </row>
    <row r="96" spans="1:1" ht="13.2">
      <c r="A96" s="53"/>
    </row>
    <row r="97" spans="1:1" ht="13.2">
      <c r="A97" s="53"/>
    </row>
    <row r="98" spans="1:1" ht="13.2">
      <c r="A98" s="53"/>
    </row>
    <row r="99" spans="1:1" ht="13.2">
      <c r="A99" s="53"/>
    </row>
    <row r="100" spans="1:1" ht="13.2">
      <c r="A100" s="53"/>
    </row>
    <row r="101" spans="1:1" ht="13.2">
      <c r="A101" s="53"/>
    </row>
    <row r="102" spans="1:1" ht="13.2">
      <c r="A102" s="53"/>
    </row>
    <row r="103" spans="1:1" ht="13.2">
      <c r="A103" s="53"/>
    </row>
    <row r="104" spans="1:1" ht="13.2">
      <c r="A104" s="53"/>
    </row>
    <row r="105" spans="1:1" ht="13.2">
      <c r="A105" s="53"/>
    </row>
    <row r="106" spans="1:1" ht="13.2">
      <c r="A106" s="53"/>
    </row>
    <row r="107" spans="1:1" ht="13.2">
      <c r="A107" s="53"/>
    </row>
    <row r="108" spans="1:1" ht="13.2">
      <c r="A108" s="53"/>
    </row>
    <row r="109" spans="1:1" ht="13.2">
      <c r="A109" s="53"/>
    </row>
    <row r="110" spans="1:1" ht="13.2">
      <c r="A110" s="53"/>
    </row>
    <row r="111" spans="1:1" ht="13.2">
      <c r="A111" s="53"/>
    </row>
    <row r="112" spans="1:1" ht="13.2">
      <c r="A112" s="53"/>
    </row>
    <row r="113" spans="1:1" ht="13.2">
      <c r="A113" s="53"/>
    </row>
    <row r="114" spans="1:1" ht="13.2">
      <c r="A114" s="53"/>
    </row>
    <row r="115" spans="1:1" ht="13.2">
      <c r="A115" s="53"/>
    </row>
    <row r="116" spans="1:1" ht="13.2">
      <c r="A116" s="53"/>
    </row>
    <row r="117" spans="1:1" ht="13.2">
      <c r="A117" s="53"/>
    </row>
    <row r="118" spans="1:1" ht="13.2">
      <c r="A118" s="53"/>
    </row>
    <row r="119" spans="1:1" ht="13.2">
      <c r="A119" s="53"/>
    </row>
    <row r="120" spans="1:1" ht="13.2">
      <c r="A120" s="53"/>
    </row>
    <row r="121" spans="1:1" ht="13.2">
      <c r="A121" s="53"/>
    </row>
    <row r="122" spans="1:1" ht="13.2">
      <c r="A122" s="53"/>
    </row>
    <row r="123" spans="1:1" ht="13.2">
      <c r="A123" s="53"/>
    </row>
    <row r="124" spans="1:1" ht="13.2">
      <c r="A124" s="53"/>
    </row>
    <row r="125" spans="1:1" ht="13.2">
      <c r="A125" s="53"/>
    </row>
    <row r="126" spans="1:1" ht="13.2">
      <c r="A126" s="53"/>
    </row>
    <row r="127" spans="1:1" ht="13.2">
      <c r="A127" s="53"/>
    </row>
    <row r="128" spans="1:1" ht="13.2">
      <c r="A128" s="53"/>
    </row>
    <row r="129" spans="1:1" ht="13.2">
      <c r="A129" s="53"/>
    </row>
    <row r="130" spans="1:1" ht="13.2">
      <c r="A130" s="53"/>
    </row>
    <row r="131" spans="1:1" ht="13.2">
      <c r="A131" s="53"/>
    </row>
    <row r="132" spans="1:1" ht="13.2">
      <c r="A132" s="53"/>
    </row>
    <row r="133" spans="1:1" ht="13.2">
      <c r="A133" s="53"/>
    </row>
    <row r="134" spans="1:1" ht="13.2">
      <c r="A134" s="53"/>
    </row>
    <row r="135" spans="1:1" ht="13.2">
      <c r="A135" s="53"/>
    </row>
    <row r="136" spans="1:1" ht="13.2">
      <c r="A136" s="53"/>
    </row>
    <row r="137" spans="1:1" ht="13.2">
      <c r="A137" s="53"/>
    </row>
    <row r="138" spans="1:1" ht="13.2">
      <c r="A138" s="53"/>
    </row>
    <row r="139" spans="1:1" ht="13.2">
      <c r="A139" s="53"/>
    </row>
    <row r="140" spans="1:1" ht="13.2">
      <c r="A140" s="53"/>
    </row>
    <row r="141" spans="1:1" ht="13.2">
      <c r="A141" s="53"/>
    </row>
    <row r="142" spans="1:1" ht="13.2">
      <c r="A142" s="53"/>
    </row>
    <row r="143" spans="1:1" ht="13.2">
      <c r="A143" s="53"/>
    </row>
    <row r="144" spans="1:1" ht="13.2">
      <c r="A144" s="53"/>
    </row>
    <row r="145" spans="1:1" ht="13.2">
      <c r="A145" s="53"/>
    </row>
    <row r="146" spans="1:1" ht="13.2">
      <c r="A146" s="53"/>
    </row>
    <row r="147" spans="1:1" ht="13.2">
      <c r="A147" s="53"/>
    </row>
    <row r="148" spans="1:1" ht="13.2">
      <c r="A148" s="53"/>
    </row>
    <row r="149" spans="1:1" ht="13.2">
      <c r="A149" s="53"/>
    </row>
    <row r="150" spans="1:1" ht="13.2">
      <c r="A150" s="53"/>
    </row>
    <row r="151" spans="1:1" ht="13.2">
      <c r="A151" s="53"/>
    </row>
    <row r="152" spans="1:1" ht="13.2">
      <c r="A152" s="53"/>
    </row>
    <row r="153" spans="1:1" ht="13.2">
      <c r="A153" s="53"/>
    </row>
    <row r="154" spans="1:1" ht="13.2">
      <c r="A154" s="53"/>
    </row>
    <row r="155" spans="1:1" ht="13.2">
      <c r="A155" s="53"/>
    </row>
    <row r="156" spans="1:1" ht="13.2">
      <c r="A156" s="53"/>
    </row>
    <row r="157" spans="1:1" ht="13.2">
      <c r="A157" s="53"/>
    </row>
    <row r="158" spans="1:1" ht="13.2">
      <c r="A158" s="53"/>
    </row>
    <row r="159" spans="1:1" ht="13.2">
      <c r="A159" s="53"/>
    </row>
    <row r="160" spans="1:1" ht="13.2">
      <c r="A160" s="53"/>
    </row>
    <row r="161" spans="1:1" ht="13.2">
      <c r="A161" s="53"/>
    </row>
    <row r="162" spans="1:1" ht="13.2">
      <c r="A162" s="53"/>
    </row>
    <row r="163" spans="1:1" ht="13.2">
      <c r="A163" s="53"/>
    </row>
    <row r="164" spans="1:1" ht="13.2">
      <c r="A164" s="53"/>
    </row>
    <row r="165" spans="1:1" ht="13.2">
      <c r="A165" s="53"/>
    </row>
    <row r="166" spans="1:1" ht="13.2">
      <c r="A166" s="53"/>
    </row>
    <row r="167" spans="1:1" ht="13.2">
      <c r="A167" s="53"/>
    </row>
    <row r="168" spans="1:1" ht="13.2">
      <c r="A168" s="53"/>
    </row>
    <row r="169" spans="1:1" ht="13.2">
      <c r="A169" s="53"/>
    </row>
    <row r="170" spans="1:1" ht="13.2">
      <c r="A170" s="53"/>
    </row>
    <row r="171" spans="1:1" ht="13.2">
      <c r="A171" s="53"/>
    </row>
    <row r="172" spans="1:1" ht="13.2">
      <c r="A172" s="53"/>
    </row>
    <row r="173" spans="1:1" ht="13.2">
      <c r="A173" s="53"/>
    </row>
    <row r="174" spans="1:1" ht="13.2">
      <c r="A174" s="53"/>
    </row>
    <row r="175" spans="1:1" ht="13.2">
      <c r="A175" s="53"/>
    </row>
    <row r="176" spans="1:1" ht="13.2">
      <c r="A176" s="53"/>
    </row>
    <row r="177" spans="1:1" ht="13.2">
      <c r="A177" s="53"/>
    </row>
    <row r="178" spans="1:1" ht="13.2">
      <c r="A178" s="53"/>
    </row>
    <row r="179" spans="1:1" ht="13.2">
      <c r="A179" s="53"/>
    </row>
    <row r="180" spans="1:1" ht="13.2">
      <c r="A180" s="53"/>
    </row>
    <row r="181" spans="1:1" ht="13.2">
      <c r="A181" s="53"/>
    </row>
    <row r="182" spans="1:1" ht="13.2">
      <c r="A182" s="53"/>
    </row>
    <row r="183" spans="1:1" ht="13.2">
      <c r="A183" s="53"/>
    </row>
    <row r="184" spans="1:1" ht="13.2">
      <c r="A184" s="53"/>
    </row>
    <row r="185" spans="1:1" ht="13.2">
      <c r="A185" s="53"/>
    </row>
    <row r="186" spans="1:1" ht="13.2">
      <c r="A186" s="53"/>
    </row>
    <row r="187" spans="1:1" ht="13.2">
      <c r="A187" s="53"/>
    </row>
    <row r="188" spans="1:1" ht="13.2">
      <c r="A188" s="53"/>
    </row>
    <row r="189" spans="1:1" ht="13.2">
      <c r="A189" s="53"/>
    </row>
    <row r="190" spans="1:1" ht="13.2">
      <c r="A190" s="53"/>
    </row>
    <row r="191" spans="1:1" ht="13.2">
      <c r="A191" s="53"/>
    </row>
    <row r="192" spans="1:1" ht="13.2">
      <c r="A192" s="53"/>
    </row>
    <row r="193" spans="1:1" ht="13.2">
      <c r="A193" s="53"/>
    </row>
    <row r="194" spans="1:1" ht="13.2">
      <c r="A194" s="53"/>
    </row>
    <row r="195" spans="1:1" ht="13.2">
      <c r="A195" s="53"/>
    </row>
    <row r="196" spans="1:1" ht="13.2">
      <c r="A196" s="53"/>
    </row>
    <row r="197" spans="1:1" ht="13.2">
      <c r="A197" s="53"/>
    </row>
    <row r="198" spans="1:1" ht="13.2">
      <c r="A198" s="53"/>
    </row>
    <row r="199" spans="1:1" ht="13.2">
      <c r="A199" s="53"/>
    </row>
    <row r="200" spans="1:1" ht="13.2">
      <c r="A200" s="53"/>
    </row>
    <row r="201" spans="1:1" ht="13.2">
      <c r="A201" s="53"/>
    </row>
    <row r="202" spans="1:1" ht="13.2">
      <c r="A202" s="53"/>
    </row>
    <row r="203" spans="1:1" ht="13.2">
      <c r="A203" s="53"/>
    </row>
    <row r="204" spans="1:1" ht="13.2">
      <c r="A204" s="53"/>
    </row>
    <row r="205" spans="1:1" ht="13.2">
      <c r="A205" s="53"/>
    </row>
    <row r="206" spans="1:1" ht="13.2">
      <c r="A206" s="53"/>
    </row>
    <row r="207" spans="1:1" ht="13.2">
      <c r="A207" s="53"/>
    </row>
    <row r="208" spans="1:1" ht="13.2">
      <c r="A208" s="53"/>
    </row>
    <row r="209" spans="1:1" ht="13.2">
      <c r="A209" s="53"/>
    </row>
    <row r="210" spans="1:1" ht="13.2">
      <c r="A210" s="53"/>
    </row>
    <row r="211" spans="1:1" ht="13.2">
      <c r="A211" s="53"/>
    </row>
    <row r="212" spans="1:1" ht="13.2">
      <c r="A212" s="53"/>
    </row>
    <row r="213" spans="1:1" ht="13.2">
      <c r="A213" s="53"/>
    </row>
    <row r="214" spans="1:1" ht="13.2">
      <c r="A214" s="53"/>
    </row>
    <row r="215" spans="1:1" ht="13.2">
      <c r="A215" s="53"/>
    </row>
    <row r="216" spans="1:1" ht="13.2">
      <c r="A216" s="53"/>
    </row>
    <row r="217" spans="1:1" ht="13.2">
      <c r="A217" s="53"/>
    </row>
    <row r="218" spans="1:1" ht="13.2">
      <c r="A218" s="53"/>
    </row>
    <row r="219" spans="1:1" ht="13.2">
      <c r="A219" s="53"/>
    </row>
    <row r="220" spans="1:1" ht="13.2">
      <c r="A220" s="53"/>
    </row>
    <row r="221" spans="1:1" ht="13.2">
      <c r="A221" s="53"/>
    </row>
    <row r="222" spans="1:1" ht="13.2">
      <c r="A222" s="53"/>
    </row>
    <row r="223" spans="1:1" ht="13.2">
      <c r="A223" s="53"/>
    </row>
    <row r="224" spans="1:1" ht="13.2">
      <c r="A224" s="53"/>
    </row>
    <row r="225" spans="1:1" ht="13.2">
      <c r="A225" s="53"/>
    </row>
    <row r="226" spans="1:1" ht="13.2">
      <c r="A226" s="53"/>
    </row>
    <row r="227" spans="1:1" ht="13.2">
      <c r="A227" s="53"/>
    </row>
    <row r="228" spans="1:1" ht="13.2">
      <c r="A228" s="53"/>
    </row>
    <row r="229" spans="1:1" ht="13.2">
      <c r="A229" s="53"/>
    </row>
    <row r="230" spans="1:1" ht="13.2">
      <c r="A230" s="53"/>
    </row>
    <row r="231" spans="1:1" ht="13.2">
      <c r="A231" s="53"/>
    </row>
    <row r="232" spans="1:1" ht="13.2">
      <c r="A232" s="53"/>
    </row>
    <row r="233" spans="1:1" ht="13.2">
      <c r="A233" s="53"/>
    </row>
    <row r="234" spans="1:1" ht="13.2">
      <c r="A234" s="53"/>
    </row>
    <row r="235" spans="1:1" ht="13.2">
      <c r="A235" s="53"/>
    </row>
    <row r="236" spans="1:1" ht="13.2">
      <c r="A236" s="53"/>
    </row>
    <row r="237" spans="1:1" ht="13.2">
      <c r="A237" s="53"/>
    </row>
    <row r="238" spans="1:1" ht="13.2">
      <c r="A238" s="53"/>
    </row>
    <row r="239" spans="1:1" ht="13.2">
      <c r="A239" s="53"/>
    </row>
    <row r="240" spans="1:1" ht="13.2">
      <c r="A240" s="53"/>
    </row>
    <row r="241" spans="1:1" ht="13.2">
      <c r="A241" s="53"/>
    </row>
    <row r="242" spans="1:1" ht="13.2">
      <c r="A242" s="53"/>
    </row>
    <row r="243" spans="1:1" ht="13.2">
      <c r="A243" s="53"/>
    </row>
    <row r="244" spans="1:1" ht="13.2">
      <c r="A244" s="53"/>
    </row>
    <row r="245" spans="1:1" ht="13.2">
      <c r="A245" s="53"/>
    </row>
    <row r="246" spans="1:1" ht="13.2">
      <c r="A246" s="53"/>
    </row>
    <row r="247" spans="1:1" ht="13.2">
      <c r="A247" s="53"/>
    </row>
    <row r="248" spans="1:1" ht="13.2">
      <c r="A248" s="53"/>
    </row>
    <row r="249" spans="1:1" ht="13.2">
      <c r="A249" s="53"/>
    </row>
    <row r="250" spans="1:1" ht="13.2">
      <c r="A250" s="53"/>
    </row>
    <row r="251" spans="1:1" ht="13.2">
      <c r="A251" s="53"/>
    </row>
    <row r="252" spans="1:1" ht="13.2">
      <c r="A252" s="53"/>
    </row>
    <row r="253" spans="1:1" ht="13.2">
      <c r="A253" s="53"/>
    </row>
    <row r="254" spans="1:1" ht="13.2">
      <c r="A254" s="53"/>
    </row>
    <row r="255" spans="1:1" ht="13.2">
      <c r="A255" s="53"/>
    </row>
    <row r="256" spans="1:1" ht="13.2">
      <c r="A256" s="53"/>
    </row>
    <row r="257" spans="1:1" ht="13.2">
      <c r="A257" s="53"/>
    </row>
    <row r="258" spans="1:1" ht="13.2">
      <c r="A258" s="53"/>
    </row>
    <row r="259" spans="1:1" ht="13.2">
      <c r="A259" s="53"/>
    </row>
    <row r="260" spans="1:1" ht="13.2">
      <c r="A260" s="53"/>
    </row>
    <row r="261" spans="1:1" ht="13.2">
      <c r="A261" s="53"/>
    </row>
    <row r="262" spans="1:1" ht="13.2">
      <c r="A262" s="53"/>
    </row>
    <row r="263" spans="1:1" ht="13.2">
      <c r="A263" s="53"/>
    </row>
    <row r="264" spans="1:1" ht="13.2">
      <c r="A264" s="53"/>
    </row>
    <row r="265" spans="1:1" ht="13.2">
      <c r="A265" s="53"/>
    </row>
    <row r="266" spans="1:1" ht="13.2">
      <c r="A266" s="53"/>
    </row>
    <row r="267" spans="1:1" ht="13.2">
      <c r="A267" s="53"/>
    </row>
    <row r="268" spans="1:1" ht="13.2">
      <c r="A268" s="53"/>
    </row>
    <row r="269" spans="1:1" ht="13.2">
      <c r="A269" s="53"/>
    </row>
    <row r="270" spans="1:1" ht="13.2">
      <c r="A270" s="53"/>
    </row>
    <row r="271" spans="1:1" ht="13.2">
      <c r="A271" s="53"/>
    </row>
    <row r="272" spans="1:1" ht="13.2">
      <c r="A272" s="53"/>
    </row>
    <row r="273" spans="1:1" ht="13.2">
      <c r="A273" s="53"/>
    </row>
    <row r="274" spans="1:1" ht="13.2">
      <c r="A274" s="53"/>
    </row>
    <row r="275" spans="1:1" ht="13.2">
      <c r="A275" s="53"/>
    </row>
    <row r="276" spans="1:1" ht="13.2">
      <c r="A276" s="53"/>
    </row>
    <row r="277" spans="1:1" ht="13.2">
      <c r="A277" s="53"/>
    </row>
    <row r="278" spans="1:1" ht="13.2">
      <c r="A278" s="53"/>
    </row>
    <row r="279" spans="1:1" ht="13.2">
      <c r="A279" s="53"/>
    </row>
    <row r="280" spans="1:1" ht="13.2">
      <c r="A280" s="53"/>
    </row>
    <row r="281" spans="1:1" ht="13.2">
      <c r="A281" s="53"/>
    </row>
    <row r="282" spans="1:1" ht="13.2">
      <c r="A282" s="53"/>
    </row>
    <row r="283" spans="1:1" ht="13.2">
      <c r="A283" s="53"/>
    </row>
    <row r="284" spans="1:1" ht="13.2">
      <c r="A284" s="53"/>
    </row>
    <row r="285" spans="1:1" ht="13.2">
      <c r="A285" s="53"/>
    </row>
    <row r="286" spans="1:1" ht="13.2">
      <c r="A286" s="53"/>
    </row>
    <row r="287" spans="1:1" ht="13.2">
      <c r="A287" s="53"/>
    </row>
    <row r="288" spans="1:1" ht="13.2">
      <c r="A288" s="53"/>
    </row>
    <row r="289" spans="1:1" ht="13.2">
      <c r="A289" s="53"/>
    </row>
    <row r="290" spans="1:1" ht="13.2">
      <c r="A290" s="53"/>
    </row>
    <row r="291" spans="1:1" ht="13.2">
      <c r="A291" s="53"/>
    </row>
    <row r="292" spans="1:1" ht="13.2">
      <c r="A292" s="53"/>
    </row>
    <row r="293" spans="1:1" ht="13.2">
      <c r="A293" s="53"/>
    </row>
    <row r="294" spans="1:1" ht="13.2">
      <c r="A294" s="53"/>
    </row>
    <row r="295" spans="1:1" ht="13.2">
      <c r="A295" s="53"/>
    </row>
    <row r="296" spans="1:1" ht="13.2">
      <c r="A296" s="53"/>
    </row>
    <row r="297" spans="1:1" ht="13.2">
      <c r="A297" s="53"/>
    </row>
    <row r="298" spans="1:1" ht="13.2">
      <c r="A298" s="53"/>
    </row>
    <row r="299" spans="1:1" ht="13.2">
      <c r="A299" s="53"/>
    </row>
    <row r="300" spans="1:1" ht="13.2">
      <c r="A300" s="53"/>
    </row>
    <row r="301" spans="1:1" ht="13.2">
      <c r="A301" s="53"/>
    </row>
    <row r="302" spans="1:1" ht="13.2">
      <c r="A302" s="53"/>
    </row>
    <row r="303" spans="1:1" ht="13.2">
      <c r="A303" s="53"/>
    </row>
    <row r="304" spans="1:1" ht="13.2">
      <c r="A304" s="53"/>
    </row>
    <row r="305" spans="1:1" ht="13.2">
      <c r="A305" s="53"/>
    </row>
    <row r="306" spans="1:1" ht="13.2">
      <c r="A306" s="53"/>
    </row>
    <row r="307" spans="1:1" ht="13.2">
      <c r="A307" s="53"/>
    </row>
    <row r="308" spans="1:1" ht="13.2">
      <c r="A308" s="53"/>
    </row>
    <row r="309" spans="1:1" ht="13.2">
      <c r="A309" s="53"/>
    </row>
    <row r="310" spans="1:1" ht="13.2">
      <c r="A310" s="53"/>
    </row>
    <row r="311" spans="1:1" ht="13.2">
      <c r="A311" s="53"/>
    </row>
    <row r="312" spans="1:1" ht="13.2">
      <c r="A312" s="53"/>
    </row>
    <row r="313" spans="1:1" ht="13.2">
      <c r="A313" s="53"/>
    </row>
    <row r="314" spans="1:1" ht="13.2">
      <c r="A314" s="53"/>
    </row>
    <row r="315" spans="1:1" ht="13.2">
      <c r="A315" s="53"/>
    </row>
    <row r="316" spans="1:1" ht="13.2">
      <c r="A316" s="53"/>
    </row>
    <row r="317" spans="1:1" ht="13.2">
      <c r="A317" s="53"/>
    </row>
    <row r="318" spans="1:1" ht="13.2">
      <c r="A318" s="53"/>
    </row>
    <row r="319" spans="1:1" ht="13.2">
      <c r="A319" s="53"/>
    </row>
    <row r="320" spans="1:1" ht="13.2">
      <c r="A320" s="53"/>
    </row>
    <row r="321" spans="1:1" ht="13.2">
      <c r="A321" s="53"/>
    </row>
    <row r="322" spans="1:1" ht="13.2">
      <c r="A322" s="53"/>
    </row>
    <row r="323" spans="1:1" ht="13.2">
      <c r="A323" s="53"/>
    </row>
    <row r="324" spans="1:1" ht="13.2">
      <c r="A324" s="53"/>
    </row>
    <row r="325" spans="1:1" ht="13.2">
      <c r="A325" s="53"/>
    </row>
    <row r="326" spans="1:1" ht="13.2">
      <c r="A326" s="53"/>
    </row>
    <row r="327" spans="1:1" ht="13.2">
      <c r="A327" s="53"/>
    </row>
    <row r="328" spans="1:1" ht="13.2">
      <c r="A328" s="53"/>
    </row>
    <row r="329" spans="1:1" ht="13.2">
      <c r="A329" s="53"/>
    </row>
    <row r="330" spans="1:1" ht="13.2">
      <c r="A330" s="53"/>
    </row>
    <row r="331" spans="1:1" ht="13.2">
      <c r="A331" s="53"/>
    </row>
    <row r="332" spans="1:1" ht="13.2">
      <c r="A332" s="53"/>
    </row>
    <row r="333" spans="1:1" ht="13.2">
      <c r="A333" s="53"/>
    </row>
    <row r="334" spans="1:1" ht="13.2">
      <c r="A334" s="53"/>
    </row>
    <row r="335" spans="1:1" ht="13.2">
      <c r="A335" s="53"/>
    </row>
    <row r="336" spans="1:1" ht="13.2">
      <c r="A336" s="53"/>
    </row>
    <row r="337" spans="1:1" ht="13.2">
      <c r="A337" s="53"/>
    </row>
    <row r="338" spans="1:1" ht="13.2">
      <c r="A338" s="53"/>
    </row>
    <row r="339" spans="1:1" ht="13.2">
      <c r="A339" s="53"/>
    </row>
    <row r="340" spans="1:1" ht="13.2">
      <c r="A340" s="53"/>
    </row>
    <row r="341" spans="1:1" ht="13.2">
      <c r="A341" s="53"/>
    </row>
    <row r="342" spans="1:1" ht="13.2">
      <c r="A342" s="53"/>
    </row>
    <row r="343" spans="1:1" ht="13.2">
      <c r="A343" s="53"/>
    </row>
    <row r="344" spans="1:1" ht="13.2">
      <c r="A344" s="53"/>
    </row>
    <row r="345" spans="1:1" ht="13.2">
      <c r="A345" s="53"/>
    </row>
    <row r="346" spans="1:1" ht="13.2">
      <c r="A346" s="53"/>
    </row>
    <row r="347" spans="1:1" ht="13.2">
      <c r="A347" s="53"/>
    </row>
    <row r="348" spans="1:1" ht="13.2">
      <c r="A348" s="53"/>
    </row>
    <row r="349" spans="1:1" ht="13.2">
      <c r="A349" s="53"/>
    </row>
    <row r="350" spans="1:1" ht="13.2">
      <c r="A350" s="53"/>
    </row>
    <row r="351" spans="1:1" ht="13.2">
      <c r="A351" s="53"/>
    </row>
    <row r="352" spans="1:1" ht="13.2">
      <c r="A352" s="53"/>
    </row>
    <row r="353" spans="1:1" ht="13.2">
      <c r="A353" s="53"/>
    </row>
    <row r="354" spans="1:1" ht="13.2">
      <c r="A354" s="53"/>
    </row>
    <row r="355" spans="1:1" ht="13.2">
      <c r="A355" s="53"/>
    </row>
    <row r="356" spans="1:1" ht="13.2">
      <c r="A356" s="53"/>
    </row>
    <row r="357" spans="1:1" ht="13.2">
      <c r="A357" s="53"/>
    </row>
    <row r="358" spans="1:1" ht="13.2">
      <c r="A358" s="53"/>
    </row>
    <row r="359" spans="1:1" ht="13.2">
      <c r="A359" s="53"/>
    </row>
    <row r="360" spans="1:1" ht="13.2">
      <c r="A360" s="53"/>
    </row>
    <row r="361" spans="1:1" ht="13.2">
      <c r="A361" s="53"/>
    </row>
    <row r="362" spans="1:1" ht="13.2">
      <c r="A362" s="53"/>
    </row>
    <row r="363" spans="1:1" ht="13.2">
      <c r="A363" s="53"/>
    </row>
    <row r="364" spans="1:1" ht="13.2">
      <c r="A364" s="53"/>
    </row>
    <row r="365" spans="1:1" ht="13.2">
      <c r="A365" s="53"/>
    </row>
    <row r="366" spans="1:1" ht="13.2">
      <c r="A366" s="53"/>
    </row>
    <row r="367" spans="1:1" ht="13.2">
      <c r="A367" s="53"/>
    </row>
    <row r="368" spans="1:1" ht="13.2">
      <c r="A368" s="53"/>
    </row>
    <row r="369" spans="1:1" ht="13.2">
      <c r="A369" s="53"/>
    </row>
    <row r="370" spans="1:1" ht="13.2">
      <c r="A370" s="53"/>
    </row>
    <row r="371" spans="1:1" ht="13.2">
      <c r="A371" s="53"/>
    </row>
    <row r="372" spans="1:1" ht="13.2">
      <c r="A372" s="53"/>
    </row>
    <row r="373" spans="1:1" ht="13.2">
      <c r="A373" s="53"/>
    </row>
    <row r="374" spans="1:1" ht="13.2">
      <c r="A374" s="53"/>
    </row>
    <row r="375" spans="1:1" ht="13.2">
      <c r="A375" s="53"/>
    </row>
    <row r="376" spans="1:1" ht="13.2">
      <c r="A376" s="53"/>
    </row>
    <row r="377" spans="1:1" ht="13.2">
      <c r="A377" s="53"/>
    </row>
    <row r="378" spans="1:1" ht="13.2">
      <c r="A378" s="53"/>
    </row>
    <row r="379" spans="1:1" ht="13.2">
      <c r="A379" s="53"/>
    </row>
    <row r="380" spans="1:1" ht="13.2">
      <c r="A380" s="53"/>
    </row>
    <row r="381" spans="1:1" ht="13.2">
      <c r="A381" s="53"/>
    </row>
    <row r="382" spans="1:1" ht="13.2">
      <c r="A382" s="53"/>
    </row>
    <row r="383" spans="1:1" ht="13.2">
      <c r="A383" s="53"/>
    </row>
    <row r="384" spans="1:1" ht="13.2">
      <c r="A384" s="53"/>
    </row>
    <row r="385" spans="1:1" ht="13.2">
      <c r="A385" s="53"/>
    </row>
    <row r="386" spans="1:1" ht="13.2">
      <c r="A386" s="53"/>
    </row>
    <row r="387" spans="1:1" ht="13.2">
      <c r="A387" s="53"/>
    </row>
    <row r="388" spans="1:1" ht="13.2">
      <c r="A388" s="53"/>
    </row>
    <row r="389" spans="1:1" ht="13.2">
      <c r="A389" s="53"/>
    </row>
    <row r="390" spans="1:1" ht="13.2">
      <c r="A390" s="53"/>
    </row>
    <row r="391" spans="1:1" ht="13.2">
      <c r="A391" s="53"/>
    </row>
    <row r="392" spans="1:1" ht="13.2">
      <c r="A392" s="53"/>
    </row>
    <row r="393" spans="1:1" ht="13.2">
      <c r="A393" s="53"/>
    </row>
    <row r="394" spans="1:1" ht="13.2">
      <c r="A394" s="53"/>
    </row>
    <row r="395" spans="1:1" ht="13.2">
      <c r="A395" s="53"/>
    </row>
    <row r="396" spans="1:1" ht="13.2">
      <c r="A396" s="53"/>
    </row>
    <row r="397" spans="1:1" ht="13.2">
      <c r="A397" s="53"/>
    </row>
    <row r="398" spans="1:1" ht="13.2">
      <c r="A398" s="53"/>
    </row>
    <row r="399" spans="1:1" ht="13.2">
      <c r="A399" s="53"/>
    </row>
    <row r="400" spans="1:1" ht="13.2">
      <c r="A400" s="53"/>
    </row>
    <row r="401" spans="1:1" ht="13.2">
      <c r="A401" s="53"/>
    </row>
    <row r="402" spans="1:1" ht="13.2">
      <c r="A402" s="53"/>
    </row>
    <row r="403" spans="1:1" ht="13.2">
      <c r="A403" s="53"/>
    </row>
    <row r="404" spans="1:1" ht="13.2">
      <c r="A404" s="53"/>
    </row>
    <row r="405" spans="1:1" ht="13.2">
      <c r="A405" s="53"/>
    </row>
    <row r="406" spans="1:1" ht="13.2">
      <c r="A406" s="53"/>
    </row>
    <row r="407" spans="1:1" ht="13.2">
      <c r="A407" s="53"/>
    </row>
    <row r="408" spans="1:1" ht="13.2">
      <c r="A408" s="53"/>
    </row>
    <row r="409" spans="1:1" ht="13.2">
      <c r="A409" s="53"/>
    </row>
    <row r="410" spans="1:1" ht="13.2">
      <c r="A410" s="53"/>
    </row>
    <row r="411" spans="1:1" ht="13.2">
      <c r="A411" s="53"/>
    </row>
    <row r="412" spans="1:1" ht="13.2">
      <c r="A412" s="53"/>
    </row>
    <row r="413" spans="1:1" ht="13.2">
      <c r="A413" s="53"/>
    </row>
    <row r="414" spans="1:1" ht="13.2">
      <c r="A414" s="53"/>
    </row>
    <row r="415" spans="1:1" ht="13.2">
      <c r="A415" s="53"/>
    </row>
    <row r="416" spans="1:1" ht="13.2">
      <c r="A416" s="53"/>
    </row>
    <row r="417" spans="1:1" ht="13.2">
      <c r="A417" s="53"/>
    </row>
    <row r="418" spans="1:1" ht="13.2">
      <c r="A418" s="53"/>
    </row>
    <row r="419" spans="1:1" ht="13.2">
      <c r="A419" s="53"/>
    </row>
    <row r="420" spans="1:1" ht="13.2">
      <c r="A420" s="53"/>
    </row>
    <row r="421" spans="1:1" ht="13.2">
      <c r="A421" s="53"/>
    </row>
    <row r="422" spans="1:1" ht="13.2">
      <c r="A422" s="53"/>
    </row>
    <row r="423" spans="1:1" ht="13.2">
      <c r="A423" s="53"/>
    </row>
    <row r="424" spans="1:1" ht="13.2">
      <c r="A424" s="53"/>
    </row>
    <row r="425" spans="1:1" ht="13.2">
      <c r="A425" s="53"/>
    </row>
    <row r="426" spans="1:1" ht="13.2">
      <c r="A426" s="53"/>
    </row>
    <row r="427" spans="1:1" ht="13.2">
      <c r="A427" s="53"/>
    </row>
    <row r="428" spans="1:1" ht="13.2">
      <c r="A428" s="53"/>
    </row>
    <row r="429" spans="1:1" ht="13.2">
      <c r="A429" s="53"/>
    </row>
    <row r="430" spans="1:1" ht="13.2">
      <c r="A430" s="53"/>
    </row>
    <row r="431" spans="1:1" ht="13.2">
      <c r="A431" s="53"/>
    </row>
    <row r="432" spans="1:1" ht="13.2">
      <c r="A432" s="53"/>
    </row>
    <row r="433" spans="1:1" ht="13.2">
      <c r="A433" s="53"/>
    </row>
    <row r="434" spans="1:1" ht="13.2">
      <c r="A434" s="53"/>
    </row>
    <row r="435" spans="1:1" ht="13.2">
      <c r="A435" s="53"/>
    </row>
    <row r="436" spans="1:1" ht="13.2">
      <c r="A436" s="53"/>
    </row>
    <row r="437" spans="1:1" ht="13.2">
      <c r="A437" s="53"/>
    </row>
    <row r="438" spans="1:1" ht="13.2">
      <c r="A438" s="53"/>
    </row>
    <row r="439" spans="1:1" ht="13.2">
      <c r="A439" s="53"/>
    </row>
    <row r="440" spans="1:1" ht="13.2">
      <c r="A440" s="53"/>
    </row>
    <row r="441" spans="1:1" ht="13.2">
      <c r="A441" s="53"/>
    </row>
    <row r="442" spans="1:1" ht="13.2">
      <c r="A442" s="53"/>
    </row>
    <row r="443" spans="1:1" ht="13.2">
      <c r="A443" s="53"/>
    </row>
    <row r="444" spans="1:1" ht="13.2">
      <c r="A444" s="53"/>
    </row>
    <row r="445" spans="1:1" ht="13.2">
      <c r="A445" s="53"/>
    </row>
    <row r="446" spans="1:1" ht="13.2">
      <c r="A446" s="53"/>
    </row>
    <row r="447" spans="1:1" ht="13.2">
      <c r="A447" s="53"/>
    </row>
    <row r="448" spans="1:1" ht="13.2">
      <c r="A448" s="53"/>
    </row>
    <row r="449" spans="1:1" ht="13.2">
      <c r="A449" s="53"/>
    </row>
    <row r="450" spans="1:1" ht="13.2">
      <c r="A450" s="53"/>
    </row>
    <row r="451" spans="1:1" ht="13.2">
      <c r="A451" s="53"/>
    </row>
    <row r="452" spans="1:1" ht="13.2">
      <c r="A452" s="53"/>
    </row>
    <row r="453" spans="1:1" ht="13.2">
      <c r="A453" s="53"/>
    </row>
    <row r="454" spans="1:1" ht="13.2">
      <c r="A454" s="53"/>
    </row>
    <row r="455" spans="1:1" ht="13.2">
      <c r="A455" s="53"/>
    </row>
    <row r="456" spans="1:1" ht="13.2">
      <c r="A456" s="53"/>
    </row>
    <row r="457" spans="1:1" ht="13.2">
      <c r="A457" s="53"/>
    </row>
    <row r="458" spans="1:1" ht="13.2">
      <c r="A458" s="53"/>
    </row>
    <row r="459" spans="1:1" ht="13.2">
      <c r="A459" s="53"/>
    </row>
    <row r="460" spans="1:1" ht="13.2">
      <c r="A460" s="53"/>
    </row>
    <row r="461" spans="1:1" ht="13.2">
      <c r="A461" s="53"/>
    </row>
    <row r="462" spans="1:1" ht="13.2">
      <c r="A462" s="53"/>
    </row>
    <row r="463" spans="1:1" ht="13.2">
      <c r="A463" s="53"/>
    </row>
    <row r="464" spans="1:1" ht="13.2">
      <c r="A464" s="53"/>
    </row>
    <row r="465" spans="1:1" ht="13.2">
      <c r="A465" s="53"/>
    </row>
    <row r="466" spans="1:1" ht="13.2">
      <c r="A466" s="53"/>
    </row>
    <row r="467" spans="1:1" ht="13.2">
      <c r="A467" s="53"/>
    </row>
    <row r="468" spans="1:1" ht="13.2">
      <c r="A468" s="53"/>
    </row>
    <row r="469" spans="1:1" ht="13.2">
      <c r="A469" s="53"/>
    </row>
    <row r="470" spans="1:1" ht="13.2">
      <c r="A470" s="53"/>
    </row>
    <row r="471" spans="1:1" ht="13.2">
      <c r="A471" s="53"/>
    </row>
    <row r="472" spans="1:1" ht="13.2">
      <c r="A472" s="53"/>
    </row>
    <row r="473" spans="1:1" ht="13.2">
      <c r="A473" s="53"/>
    </row>
    <row r="474" spans="1:1" ht="13.2">
      <c r="A474" s="53"/>
    </row>
    <row r="475" spans="1:1" ht="13.2">
      <c r="A475" s="53"/>
    </row>
    <row r="476" spans="1:1" ht="13.2">
      <c r="A476" s="53"/>
    </row>
    <row r="477" spans="1:1" ht="13.2">
      <c r="A477" s="53"/>
    </row>
    <row r="478" spans="1:1" ht="13.2">
      <c r="A478" s="53"/>
    </row>
    <row r="479" spans="1:1" ht="13.2">
      <c r="A479" s="53"/>
    </row>
    <row r="480" spans="1:1" ht="13.2">
      <c r="A480" s="53"/>
    </row>
    <row r="481" spans="1:1" ht="13.2">
      <c r="A481" s="53"/>
    </row>
    <row r="482" spans="1:1" ht="13.2">
      <c r="A482" s="53"/>
    </row>
    <row r="483" spans="1:1" ht="13.2">
      <c r="A483" s="53"/>
    </row>
    <row r="484" spans="1:1" ht="13.2">
      <c r="A484" s="53"/>
    </row>
    <row r="485" spans="1:1" ht="13.2">
      <c r="A485" s="53"/>
    </row>
    <row r="486" spans="1:1" ht="13.2">
      <c r="A486" s="53"/>
    </row>
    <row r="487" spans="1:1" ht="13.2">
      <c r="A487" s="53"/>
    </row>
    <row r="488" spans="1:1" ht="13.2">
      <c r="A488" s="53"/>
    </row>
    <row r="489" spans="1:1" ht="13.2">
      <c r="A489" s="53"/>
    </row>
    <row r="490" spans="1:1" ht="13.2">
      <c r="A490" s="53"/>
    </row>
    <row r="491" spans="1:1" ht="13.2">
      <c r="A491" s="53"/>
    </row>
    <row r="492" spans="1:1" ht="13.2">
      <c r="A492" s="53"/>
    </row>
    <row r="493" spans="1:1" ht="13.2">
      <c r="A493" s="53"/>
    </row>
    <row r="494" spans="1:1" ht="13.2">
      <c r="A494" s="53"/>
    </row>
    <row r="495" spans="1:1" ht="13.2">
      <c r="A495" s="53"/>
    </row>
    <row r="496" spans="1:1" ht="13.2">
      <c r="A496" s="53"/>
    </row>
    <row r="497" spans="1:1" ht="13.2">
      <c r="A497" s="53"/>
    </row>
    <row r="498" spans="1:1" ht="13.2">
      <c r="A498" s="53"/>
    </row>
    <row r="499" spans="1:1" ht="13.2">
      <c r="A499" s="53"/>
    </row>
    <row r="500" spans="1:1" ht="13.2">
      <c r="A500" s="53"/>
    </row>
    <row r="501" spans="1:1" ht="13.2">
      <c r="A501" s="53"/>
    </row>
    <row r="502" spans="1:1" ht="13.2">
      <c r="A502" s="53"/>
    </row>
    <row r="503" spans="1:1" ht="13.2">
      <c r="A503" s="53"/>
    </row>
    <row r="504" spans="1:1" ht="13.2">
      <c r="A504" s="53"/>
    </row>
    <row r="505" spans="1:1" ht="13.2">
      <c r="A505" s="53"/>
    </row>
    <row r="506" spans="1:1" ht="13.2">
      <c r="A506" s="53"/>
    </row>
    <row r="507" spans="1:1" ht="13.2">
      <c r="A507" s="53"/>
    </row>
    <row r="508" spans="1:1" ht="13.2">
      <c r="A508" s="53"/>
    </row>
    <row r="509" spans="1:1" ht="13.2">
      <c r="A509" s="53"/>
    </row>
    <row r="510" spans="1:1" ht="13.2">
      <c r="A510" s="53"/>
    </row>
    <row r="511" spans="1:1" ht="13.2">
      <c r="A511" s="53"/>
    </row>
    <row r="512" spans="1:1" ht="13.2">
      <c r="A512" s="53"/>
    </row>
    <row r="513" spans="1:1" ht="13.2">
      <c r="A513" s="53"/>
    </row>
    <row r="514" spans="1:1" ht="13.2">
      <c r="A514" s="53"/>
    </row>
    <row r="515" spans="1:1" ht="13.2">
      <c r="A515" s="53"/>
    </row>
    <row r="516" spans="1:1" ht="13.2">
      <c r="A516" s="53"/>
    </row>
    <row r="517" spans="1:1" ht="13.2">
      <c r="A517" s="53"/>
    </row>
    <row r="518" spans="1:1" ht="13.2">
      <c r="A518" s="53"/>
    </row>
    <row r="519" spans="1:1" ht="13.2">
      <c r="A519" s="53"/>
    </row>
    <row r="520" spans="1:1" ht="13.2">
      <c r="A520" s="53"/>
    </row>
    <row r="521" spans="1:1" ht="13.2">
      <c r="A521" s="53"/>
    </row>
    <row r="522" spans="1:1" ht="13.2">
      <c r="A522" s="53"/>
    </row>
    <row r="523" spans="1:1" ht="13.2">
      <c r="A523" s="53"/>
    </row>
    <row r="524" spans="1:1" ht="13.2">
      <c r="A524" s="53"/>
    </row>
    <row r="525" spans="1:1" ht="13.2">
      <c r="A525" s="53"/>
    </row>
    <row r="526" spans="1:1" ht="13.2">
      <c r="A526" s="53"/>
    </row>
    <row r="527" spans="1:1" ht="13.2">
      <c r="A527" s="53"/>
    </row>
    <row r="528" spans="1:1" ht="13.2">
      <c r="A528" s="53"/>
    </row>
    <row r="529" spans="1:1" ht="13.2">
      <c r="A529" s="53"/>
    </row>
    <row r="530" spans="1:1" ht="13.2">
      <c r="A530" s="53"/>
    </row>
    <row r="531" spans="1:1" ht="13.2">
      <c r="A531" s="53"/>
    </row>
    <row r="532" spans="1:1" ht="13.2">
      <c r="A532" s="53"/>
    </row>
    <row r="533" spans="1:1" ht="13.2">
      <c r="A533" s="53"/>
    </row>
    <row r="534" spans="1:1" ht="13.2">
      <c r="A534" s="53"/>
    </row>
    <row r="535" spans="1:1" ht="13.2">
      <c r="A535" s="53"/>
    </row>
    <row r="536" spans="1:1" ht="13.2">
      <c r="A536" s="53"/>
    </row>
    <row r="537" spans="1:1" ht="13.2">
      <c r="A537" s="53"/>
    </row>
    <row r="538" spans="1:1" ht="13.2">
      <c r="A538" s="53"/>
    </row>
    <row r="539" spans="1:1" ht="13.2">
      <c r="A539" s="53"/>
    </row>
    <row r="540" spans="1:1" ht="13.2">
      <c r="A540" s="53"/>
    </row>
    <row r="541" spans="1:1" ht="13.2">
      <c r="A541" s="53"/>
    </row>
    <row r="542" spans="1:1" ht="13.2">
      <c r="A542" s="53"/>
    </row>
    <row r="543" spans="1:1" ht="13.2">
      <c r="A543" s="53"/>
    </row>
    <row r="544" spans="1:1" ht="13.2">
      <c r="A544" s="53"/>
    </row>
    <row r="545" spans="1:1" ht="13.2">
      <c r="A545" s="53"/>
    </row>
    <row r="546" spans="1:1" ht="13.2">
      <c r="A546" s="53"/>
    </row>
    <row r="547" spans="1:1" ht="13.2">
      <c r="A547" s="53"/>
    </row>
    <row r="548" spans="1:1" ht="13.2">
      <c r="A548" s="53"/>
    </row>
    <row r="549" spans="1:1" ht="13.2">
      <c r="A549" s="53"/>
    </row>
    <row r="550" spans="1:1" ht="13.2">
      <c r="A550" s="53"/>
    </row>
    <row r="551" spans="1:1" ht="13.2">
      <c r="A551" s="53"/>
    </row>
    <row r="552" spans="1:1" ht="13.2">
      <c r="A552" s="53"/>
    </row>
    <row r="553" spans="1:1" ht="13.2">
      <c r="A553" s="53"/>
    </row>
    <row r="554" spans="1:1" ht="13.2">
      <c r="A554" s="53"/>
    </row>
    <row r="555" spans="1:1" ht="13.2">
      <c r="A555" s="53"/>
    </row>
    <row r="556" spans="1:1" ht="13.2">
      <c r="A556" s="53"/>
    </row>
    <row r="557" spans="1:1" ht="13.2">
      <c r="A557" s="53"/>
    </row>
    <row r="558" spans="1:1" ht="13.2">
      <c r="A558" s="53"/>
    </row>
    <row r="559" spans="1:1" ht="13.2">
      <c r="A559" s="53"/>
    </row>
    <row r="560" spans="1:1" ht="13.2">
      <c r="A560" s="53"/>
    </row>
    <row r="561" spans="1:1" ht="13.2">
      <c r="A561" s="53"/>
    </row>
    <row r="562" spans="1:1" ht="13.2">
      <c r="A562" s="53"/>
    </row>
    <row r="563" spans="1:1" ht="13.2">
      <c r="A563" s="53"/>
    </row>
    <row r="564" spans="1:1" ht="13.2">
      <c r="A564" s="53"/>
    </row>
    <row r="565" spans="1:1" ht="13.2">
      <c r="A565" s="53"/>
    </row>
    <row r="566" spans="1:1" ht="13.2">
      <c r="A566" s="53"/>
    </row>
    <row r="567" spans="1:1" ht="13.2">
      <c r="A567" s="53"/>
    </row>
    <row r="568" spans="1:1" ht="13.2">
      <c r="A568" s="53"/>
    </row>
    <row r="569" spans="1:1" ht="13.2">
      <c r="A569" s="53"/>
    </row>
    <row r="570" spans="1:1" ht="13.2">
      <c r="A570" s="53"/>
    </row>
    <row r="571" spans="1:1" ht="13.2">
      <c r="A571" s="53"/>
    </row>
    <row r="572" spans="1:1" ht="13.2">
      <c r="A572" s="53"/>
    </row>
    <row r="573" spans="1:1" ht="13.2">
      <c r="A573" s="53"/>
    </row>
    <row r="574" spans="1:1" ht="13.2">
      <c r="A574" s="53"/>
    </row>
    <row r="575" spans="1:1" ht="13.2">
      <c r="A575" s="53"/>
    </row>
    <row r="576" spans="1:1" ht="13.2">
      <c r="A576" s="53"/>
    </row>
    <row r="577" spans="1:1" ht="13.2">
      <c r="A577" s="53"/>
    </row>
    <row r="578" spans="1:1" ht="13.2">
      <c r="A578" s="53"/>
    </row>
    <row r="579" spans="1:1" ht="13.2">
      <c r="A579" s="53"/>
    </row>
    <row r="580" spans="1:1" ht="13.2">
      <c r="A580" s="53"/>
    </row>
    <row r="581" spans="1:1" ht="13.2">
      <c r="A581" s="53"/>
    </row>
    <row r="582" spans="1:1" ht="13.2">
      <c r="A582" s="53"/>
    </row>
    <row r="583" spans="1:1" ht="13.2">
      <c r="A583" s="53"/>
    </row>
    <row r="584" spans="1:1" ht="13.2">
      <c r="A584" s="53"/>
    </row>
    <row r="585" spans="1:1" ht="13.2">
      <c r="A585" s="53"/>
    </row>
    <row r="586" spans="1:1" ht="13.2">
      <c r="A586" s="53"/>
    </row>
    <row r="587" spans="1:1" ht="13.2">
      <c r="A587" s="53"/>
    </row>
    <row r="588" spans="1:1" ht="13.2">
      <c r="A588" s="53"/>
    </row>
    <row r="589" spans="1:1" ht="13.2">
      <c r="A589" s="53"/>
    </row>
    <row r="590" spans="1:1" ht="13.2">
      <c r="A590" s="53"/>
    </row>
    <row r="591" spans="1:1" ht="13.2">
      <c r="A591" s="53"/>
    </row>
    <row r="592" spans="1:1" ht="13.2">
      <c r="A592" s="53"/>
    </row>
    <row r="593" spans="1:1" ht="13.2">
      <c r="A593" s="53"/>
    </row>
    <row r="594" spans="1:1" ht="13.2">
      <c r="A594" s="53"/>
    </row>
    <row r="595" spans="1:1" ht="13.2">
      <c r="A595" s="53"/>
    </row>
    <row r="596" spans="1:1" ht="13.2">
      <c r="A596" s="53"/>
    </row>
    <row r="597" spans="1:1" ht="13.2">
      <c r="A597" s="53"/>
    </row>
    <row r="598" spans="1:1" ht="13.2">
      <c r="A598" s="53"/>
    </row>
    <row r="599" spans="1:1" ht="13.2">
      <c r="A599" s="53"/>
    </row>
    <row r="600" spans="1:1" ht="13.2">
      <c r="A600" s="53"/>
    </row>
    <row r="601" spans="1:1" ht="13.2">
      <c r="A601" s="53"/>
    </row>
    <row r="602" spans="1:1" ht="13.2">
      <c r="A602" s="53"/>
    </row>
    <row r="603" spans="1:1" ht="13.2">
      <c r="A603" s="53"/>
    </row>
    <row r="604" spans="1:1" ht="13.2">
      <c r="A604" s="53"/>
    </row>
    <row r="605" spans="1:1" ht="13.2">
      <c r="A605" s="53"/>
    </row>
    <row r="606" spans="1:1" ht="13.2">
      <c r="A606" s="53"/>
    </row>
    <row r="607" spans="1:1" ht="13.2">
      <c r="A607" s="53"/>
    </row>
    <row r="608" spans="1:1" ht="13.2">
      <c r="A608" s="53"/>
    </row>
    <row r="609" spans="1:1" ht="13.2">
      <c r="A609" s="53"/>
    </row>
    <row r="610" spans="1:1" ht="13.2">
      <c r="A610" s="53"/>
    </row>
    <row r="611" spans="1:1" ht="13.2">
      <c r="A611" s="53"/>
    </row>
    <row r="612" spans="1:1" ht="13.2">
      <c r="A612" s="53"/>
    </row>
    <row r="613" spans="1:1" ht="13.2">
      <c r="A613" s="53"/>
    </row>
    <row r="614" spans="1:1" ht="13.2">
      <c r="A614" s="53"/>
    </row>
    <row r="615" spans="1:1" ht="13.2">
      <c r="A615" s="53"/>
    </row>
    <row r="616" spans="1:1" ht="13.2">
      <c r="A616" s="53"/>
    </row>
    <row r="617" spans="1:1" ht="13.2">
      <c r="A617" s="53"/>
    </row>
    <row r="618" spans="1:1" ht="13.2">
      <c r="A618" s="53"/>
    </row>
    <row r="619" spans="1:1" ht="13.2">
      <c r="A619" s="53"/>
    </row>
    <row r="620" spans="1:1" ht="13.2">
      <c r="A620" s="53"/>
    </row>
    <row r="621" spans="1:1" ht="13.2">
      <c r="A621" s="53"/>
    </row>
    <row r="622" spans="1:1" ht="13.2">
      <c r="A622" s="53"/>
    </row>
    <row r="623" spans="1:1" ht="13.2">
      <c r="A623" s="53"/>
    </row>
    <row r="624" spans="1:1" ht="13.2">
      <c r="A624" s="53"/>
    </row>
    <row r="625" spans="1:1" ht="13.2">
      <c r="A625" s="53"/>
    </row>
    <row r="626" spans="1:1" ht="13.2">
      <c r="A626" s="53"/>
    </row>
    <row r="627" spans="1:1" ht="13.2">
      <c r="A627" s="53"/>
    </row>
    <row r="628" spans="1:1" ht="13.2">
      <c r="A628" s="53"/>
    </row>
    <row r="629" spans="1:1" ht="13.2">
      <c r="A629" s="53"/>
    </row>
    <row r="630" spans="1:1" ht="13.2">
      <c r="A630" s="53"/>
    </row>
    <row r="631" spans="1:1" ht="13.2">
      <c r="A631" s="53"/>
    </row>
    <row r="632" spans="1:1" ht="13.2">
      <c r="A632" s="53"/>
    </row>
    <row r="633" spans="1:1" ht="13.2">
      <c r="A633" s="53"/>
    </row>
    <row r="634" spans="1:1" ht="13.2">
      <c r="A634" s="53"/>
    </row>
    <row r="635" spans="1:1" ht="13.2">
      <c r="A635" s="53"/>
    </row>
    <row r="636" spans="1:1" ht="13.2">
      <c r="A636" s="53"/>
    </row>
    <row r="637" spans="1:1" ht="13.2">
      <c r="A637" s="53"/>
    </row>
    <row r="638" spans="1:1" ht="13.2">
      <c r="A638" s="53"/>
    </row>
    <row r="639" spans="1:1" ht="13.2">
      <c r="A639" s="53"/>
    </row>
    <row r="640" spans="1:1" ht="13.2">
      <c r="A640" s="53"/>
    </row>
    <row r="641" spans="1:1" ht="13.2">
      <c r="A641" s="53"/>
    </row>
    <row r="642" spans="1:1" ht="13.2">
      <c r="A642" s="53"/>
    </row>
    <row r="643" spans="1:1" ht="13.2">
      <c r="A643" s="53"/>
    </row>
    <row r="644" spans="1:1" ht="13.2">
      <c r="A644" s="53"/>
    </row>
    <row r="645" spans="1:1" ht="13.2">
      <c r="A645" s="53"/>
    </row>
    <row r="646" spans="1:1" ht="13.2">
      <c r="A646" s="53"/>
    </row>
    <row r="647" spans="1:1" ht="13.2">
      <c r="A647" s="53"/>
    </row>
    <row r="648" spans="1:1" ht="13.2">
      <c r="A648" s="53"/>
    </row>
    <row r="649" spans="1:1" ht="13.2">
      <c r="A649" s="53"/>
    </row>
    <row r="650" spans="1:1" ht="13.2">
      <c r="A650" s="53"/>
    </row>
    <row r="651" spans="1:1" ht="13.2">
      <c r="A651" s="53"/>
    </row>
    <row r="652" spans="1:1" ht="13.2">
      <c r="A652" s="53"/>
    </row>
    <row r="653" spans="1:1" ht="13.2">
      <c r="A653" s="53"/>
    </row>
    <row r="654" spans="1:1" ht="13.2">
      <c r="A654" s="53"/>
    </row>
    <row r="655" spans="1:1" ht="13.2">
      <c r="A655" s="53"/>
    </row>
    <row r="656" spans="1:1" ht="13.2">
      <c r="A656" s="53"/>
    </row>
    <row r="657" spans="1:1" ht="13.2">
      <c r="A657" s="53"/>
    </row>
    <row r="658" spans="1:1" ht="13.2">
      <c r="A658" s="53"/>
    </row>
    <row r="659" spans="1:1" ht="13.2">
      <c r="A659" s="53"/>
    </row>
    <row r="660" spans="1:1" ht="13.2">
      <c r="A660" s="53"/>
    </row>
    <row r="661" spans="1:1" ht="13.2">
      <c r="A661" s="53"/>
    </row>
    <row r="662" spans="1:1" ht="13.2">
      <c r="A662" s="53"/>
    </row>
    <row r="663" spans="1:1" ht="13.2">
      <c r="A663" s="53"/>
    </row>
    <row r="664" spans="1:1" ht="13.2">
      <c r="A664" s="53"/>
    </row>
    <row r="665" spans="1:1" ht="13.2">
      <c r="A665" s="53"/>
    </row>
    <row r="666" spans="1:1" ht="13.2">
      <c r="A666" s="53"/>
    </row>
    <row r="667" spans="1:1" ht="13.2">
      <c r="A667" s="53"/>
    </row>
    <row r="668" spans="1:1" ht="13.2">
      <c r="A668" s="53"/>
    </row>
    <row r="669" spans="1:1" ht="13.2">
      <c r="A669" s="53"/>
    </row>
    <row r="670" spans="1:1" ht="13.2">
      <c r="A670" s="53"/>
    </row>
    <row r="671" spans="1:1" ht="13.2">
      <c r="A671" s="53"/>
    </row>
    <row r="672" spans="1:1" ht="13.2">
      <c r="A672" s="53"/>
    </row>
    <row r="673" spans="1:1" ht="13.2">
      <c r="A673" s="53"/>
    </row>
    <row r="674" spans="1:1" ht="13.2">
      <c r="A674" s="53"/>
    </row>
    <row r="675" spans="1:1" ht="13.2">
      <c r="A675" s="53"/>
    </row>
    <row r="676" spans="1:1" ht="13.2">
      <c r="A676" s="53"/>
    </row>
    <row r="677" spans="1:1" ht="13.2">
      <c r="A677" s="53"/>
    </row>
    <row r="678" spans="1:1" ht="13.2">
      <c r="A678" s="53"/>
    </row>
    <row r="679" spans="1:1" ht="13.2">
      <c r="A679" s="53"/>
    </row>
    <row r="680" spans="1:1" ht="13.2">
      <c r="A680" s="53"/>
    </row>
    <row r="681" spans="1:1" ht="13.2">
      <c r="A681" s="53"/>
    </row>
    <row r="682" spans="1:1" ht="13.2">
      <c r="A682" s="53"/>
    </row>
    <row r="683" spans="1:1" ht="13.2">
      <c r="A683" s="53"/>
    </row>
    <row r="684" spans="1:1" ht="13.2">
      <c r="A684" s="53"/>
    </row>
    <row r="685" spans="1:1" ht="13.2">
      <c r="A685" s="53"/>
    </row>
    <row r="686" spans="1:1" ht="13.2">
      <c r="A686" s="53"/>
    </row>
    <row r="687" spans="1:1" ht="13.2">
      <c r="A687" s="53"/>
    </row>
    <row r="688" spans="1:1" ht="13.2">
      <c r="A688" s="53"/>
    </row>
    <row r="689" spans="1:1" ht="13.2">
      <c r="A689" s="53"/>
    </row>
    <row r="690" spans="1:1" ht="13.2">
      <c r="A690" s="53"/>
    </row>
    <row r="691" spans="1:1" ht="13.2">
      <c r="A691" s="53"/>
    </row>
    <row r="692" spans="1:1" ht="13.2">
      <c r="A692" s="53"/>
    </row>
    <row r="693" spans="1:1" ht="13.2">
      <c r="A693" s="53"/>
    </row>
    <row r="694" spans="1:1" ht="13.2">
      <c r="A694" s="53"/>
    </row>
    <row r="695" spans="1:1" ht="13.2">
      <c r="A695" s="53"/>
    </row>
    <row r="696" spans="1:1" ht="13.2">
      <c r="A696" s="53"/>
    </row>
    <row r="697" spans="1:1" ht="13.2">
      <c r="A697" s="53"/>
    </row>
    <row r="698" spans="1:1" ht="13.2">
      <c r="A698" s="53"/>
    </row>
    <row r="699" spans="1:1" ht="13.2">
      <c r="A699" s="53"/>
    </row>
    <row r="700" spans="1:1" ht="13.2">
      <c r="A700" s="53"/>
    </row>
    <row r="701" spans="1:1" ht="13.2">
      <c r="A701" s="53"/>
    </row>
    <row r="702" spans="1:1" ht="13.2">
      <c r="A702" s="53"/>
    </row>
    <row r="703" spans="1:1" ht="13.2">
      <c r="A703" s="53"/>
    </row>
    <row r="704" spans="1:1" ht="13.2">
      <c r="A704" s="53"/>
    </row>
    <row r="705" spans="1:1" ht="13.2">
      <c r="A705" s="53"/>
    </row>
    <row r="706" spans="1:1" ht="13.2">
      <c r="A706" s="53"/>
    </row>
    <row r="707" spans="1:1" ht="13.2">
      <c r="A707" s="53"/>
    </row>
    <row r="708" spans="1:1" ht="13.2">
      <c r="A708" s="53"/>
    </row>
    <row r="709" spans="1:1" ht="13.2">
      <c r="A709" s="53"/>
    </row>
    <row r="710" spans="1:1" ht="13.2">
      <c r="A710" s="53"/>
    </row>
    <row r="711" spans="1:1" ht="13.2">
      <c r="A711" s="53"/>
    </row>
    <row r="712" spans="1:1" ht="13.2">
      <c r="A712" s="53"/>
    </row>
    <row r="713" spans="1:1" ht="13.2">
      <c r="A713" s="53"/>
    </row>
    <row r="714" spans="1:1" ht="13.2">
      <c r="A714" s="53"/>
    </row>
    <row r="715" spans="1:1" ht="13.2">
      <c r="A715" s="53"/>
    </row>
    <row r="716" spans="1:1" ht="13.2">
      <c r="A716" s="53"/>
    </row>
    <row r="717" spans="1:1" ht="13.2">
      <c r="A717" s="53"/>
    </row>
    <row r="718" spans="1:1" ht="13.2">
      <c r="A718" s="53"/>
    </row>
    <row r="719" spans="1:1" ht="13.2">
      <c r="A719" s="53"/>
    </row>
    <row r="720" spans="1:1" ht="13.2">
      <c r="A720" s="53"/>
    </row>
    <row r="721" spans="1:1" ht="13.2">
      <c r="A721" s="53"/>
    </row>
    <row r="722" spans="1:1" ht="13.2">
      <c r="A722" s="53"/>
    </row>
    <row r="723" spans="1:1" ht="13.2">
      <c r="A723" s="53"/>
    </row>
    <row r="724" spans="1:1" ht="13.2">
      <c r="A724" s="53"/>
    </row>
    <row r="725" spans="1:1" ht="13.2">
      <c r="A725" s="53"/>
    </row>
    <row r="726" spans="1:1" ht="13.2">
      <c r="A726" s="53"/>
    </row>
    <row r="727" spans="1:1" ht="13.2">
      <c r="A727" s="53"/>
    </row>
    <row r="728" spans="1:1" ht="13.2">
      <c r="A728" s="53"/>
    </row>
    <row r="729" spans="1:1" ht="13.2">
      <c r="A729" s="53"/>
    </row>
    <row r="730" spans="1:1" ht="13.2">
      <c r="A730" s="53"/>
    </row>
    <row r="731" spans="1:1" ht="13.2">
      <c r="A731" s="53"/>
    </row>
    <row r="732" spans="1:1" ht="13.2">
      <c r="A732" s="53"/>
    </row>
    <row r="733" spans="1:1" ht="13.2">
      <c r="A733" s="53"/>
    </row>
    <row r="734" spans="1:1" ht="13.2">
      <c r="A734" s="53"/>
    </row>
    <row r="735" spans="1:1" ht="13.2">
      <c r="A735" s="53"/>
    </row>
    <row r="736" spans="1:1" ht="13.2">
      <c r="A736" s="53"/>
    </row>
    <row r="737" spans="1:1" ht="13.2">
      <c r="A737" s="53"/>
    </row>
    <row r="738" spans="1:1" ht="13.2">
      <c r="A738" s="53"/>
    </row>
    <row r="739" spans="1:1" ht="13.2">
      <c r="A739" s="53"/>
    </row>
    <row r="740" spans="1:1" ht="13.2">
      <c r="A740" s="53"/>
    </row>
    <row r="741" spans="1:1" ht="13.2">
      <c r="A741" s="53"/>
    </row>
    <row r="742" spans="1:1" ht="13.2">
      <c r="A742" s="53"/>
    </row>
    <row r="743" spans="1:1" ht="13.2">
      <c r="A743" s="53"/>
    </row>
    <row r="744" spans="1:1" ht="13.2">
      <c r="A744" s="53"/>
    </row>
    <row r="745" spans="1:1" ht="13.2">
      <c r="A745" s="53"/>
    </row>
    <row r="746" spans="1:1" ht="13.2">
      <c r="A746" s="53"/>
    </row>
    <row r="747" spans="1:1" ht="13.2">
      <c r="A747" s="53"/>
    </row>
    <row r="748" spans="1:1" ht="13.2">
      <c r="A748" s="53"/>
    </row>
    <row r="749" spans="1:1" ht="13.2">
      <c r="A749" s="53"/>
    </row>
    <row r="750" spans="1:1" ht="13.2">
      <c r="A750" s="53"/>
    </row>
    <row r="751" spans="1:1" ht="13.2">
      <c r="A751" s="53"/>
    </row>
    <row r="752" spans="1:1" ht="13.2">
      <c r="A752" s="53"/>
    </row>
    <row r="753" spans="1:1" ht="13.2">
      <c r="A753" s="53"/>
    </row>
    <row r="754" spans="1:1" ht="13.2">
      <c r="A754" s="53"/>
    </row>
    <row r="755" spans="1:1" ht="13.2">
      <c r="A755" s="53"/>
    </row>
    <row r="756" spans="1:1" ht="13.2">
      <c r="A756" s="53"/>
    </row>
    <row r="757" spans="1:1" ht="13.2">
      <c r="A757" s="53"/>
    </row>
    <row r="758" spans="1:1" ht="13.2">
      <c r="A758" s="53"/>
    </row>
    <row r="759" spans="1:1" ht="13.2">
      <c r="A759" s="53"/>
    </row>
    <row r="760" spans="1:1" ht="13.2">
      <c r="A760" s="53"/>
    </row>
    <row r="761" spans="1:1" ht="13.2">
      <c r="A761" s="53"/>
    </row>
    <row r="762" spans="1:1" ht="13.2">
      <c r="A762" s="53"/>
    </row>
    <row r="763" spans="1:1" ht="13.2">
      <c r="A763" s="53"/>
    </row>
    <row r="764" spans="1:1" ht="13.2">
      <c r="A764" s="53"/>
    </row>
    <row r="765" spans="1:1" ht="13.2">
      <c r="A765" s="53"/>
    </row>
    <row r="766" spans="1:1" ht="13.2">
      <c r="A766" s="53"/>
    </row>
    <row r="767" spans="1:1" ht="13.2">
      <c r="A767" s="53"/>
    </row>
    <row r="768" spans="1:1" ht="13.2">
      <c r="A768" s="53"/>
    </row>
    <row r="769" spans="1:1" ht="13.2">
      <c r="A769" s="53"/>
    </row>
    <row r="770" spans="1:1" ht="13.2">
      <c r="A770" s="53"/>
    </row>
    <row r="771" spans="1:1" ht="13.2">
      <c r="A771" s="53"/>
    </row>
    <row r="772" spans="1:1" ht="13.2">
      <c r="A772" s="53"/>
    </row>
    <row r="773" spans="1:1" ht="13.2">
      <c r="A773" s="53"/>
    </row>
    <row r="774" spans="1:1" ht="13.2">
      <c r="A774" s="53"/>
    </row>
    <row r="775" spans="1:1" ht="13.2">
      <c r="A775" s="53"/>
    </row>
    <row r="776" spans="1:1" ht="13.2">
      <c r="A776" s="53"/>
    </row>
    <row r="777" spans="1:1" ht="13.2">
      <c r="A777" s="53"/>
    </row>
    <row r="778" spans="1:1" ht="13.2">
      <c r="A778" s="53"/>
    </row>
    <row r="779" spans="1:1" ht="13.2">
      <c r="A779" s="53"/>
    </row>
    <row r="780" spans="1:1" ht="13.2">
      <c r="A780" s="53"/>
    </row>
    <row r="781" spans="1:1" ht="13.2">
      <c r="A781" s="53"/>
    </row>
    <row r="782" spans="1:1" ht="13.2">
      <c r="A782" s="53"/>
    </row>
    <row r="783" spans="1:1" ht="13.2">
      <c r="A783" s="53"/>
    </row>
    <row r="784" spans="1:1" ht="13.2">
      <c r="A784" s="53"/>
    </row>
    <row r="785" spans="1:1" ht="13.2">
      <c r="A785" s="53"/>
    </row>
    <row r="786" spans="1:1" ht="13.2">
      <c r="A786" s="53"/>
    </row>
    <row r="787" spans="1:1" ht="13.2">
      <c r="A787" s="53"/>
    </row>
    <row r="788" spans="1:1" ht="13.2">
      <c r="A788" s="53"/>
    </row>
    <row r="789" spans="1:1" ht="13.2">
      <c r="A789" s="53"/>
    </row>
    <row r="790" spans="1:1" ht="13.2">
      <c r="A790" s="53"/>
    </row>
    <row r="791" spans="1:1" ht="13.2">
      <c r="A791" s="53"/>
    </row>
    <row r="792" spans="1:1" ht="13.2">
      <c r="A792" s="53"/>
    </row>
    <row r="793" spans="1:1" ht="13.2">
      <c r="A793" s="53"/>
    </row>
    <row r="794" spans="1:1" ht="13.2">
      <c r="A794" s="53"/>
    </row>
    <row r="795" spans="1:1" ht="13.2">
      <c r="A795" s="53"/>
    </row>
    <row r="796" spans="1:1" ht="13.2">
      <c r="A796" s="53"/>
    </row>
    <row r="797" spans="1:1" ht="13.2">
      <c r="A797" s="53"/>
    </row>
    <row r="798" spans="1:1" ht="13.2">
      <c r="A798" s="53"/>
    </row>
    <row r="799" spans="1:1" ht="13.2">
      <c r="A799" s="53"/>
    </row>
    <row r="800" spans="1:1" ht="13.2">
      <c r="A800" s="53"/>
    </row>
    <row r="801" spans="1:1" ht="13.2">
      <c r="A801" s="53"/>
    </row>
    <row r="802" spans="1:1" ht="13.2">
      <c r="A802" s="53"/>
    </row>
    <row r="803" spans="1:1" ht="13.2">
      <c r="A803" s="53"/>
    </row>
    <row r="804" spans="1:1" ht="13.2">
      <c r="A804" s="53"/>
    </row>
    <row r="805" spans="1:1" ht="13.2">
      <c r="A805" s="53"/>
    </row>
    <row r="806" spans="1:1" ht="13.2">
      <c r="A806" s="53"/>
    </row>
    <row r="807" spans="1:1" ht="13.2">
      <c r="A807" s="53"/>
    </row>
    <row r="808" spans="1:1" ht="13.2">
      <c r="A808" s="53"/>
    </row>
    <row r="809" spans="1:1" ht="13.2">
      <c r="A809" s="53"/>
    </row>
    <row r="810" spans="1:1" ht="13.2">
      <c r="A810" s="53"/>
    </row>
    <row r="811" spans="1:1" ht="13.2">
      <c r="A811" s="53"/>
    </row>
    <row r="812" spans="1:1" ht="13.2">
      <c r="A812" s="53"/>
    </row>
    <row r="813" spans="1:1" ht="13.2">
      <c r="A813" s="53"/>
    </row>
    <row r="814" spans="1:1" ht="13.2">
      <c r="A814" s="53"/>
    </row>
    <row r="815" spans="1:1" ht="13.2">
      <c r="A815" s="53"/>
    </row>
    <row r="816" spans="1:1" ht="13.2">
      <c r="A816" s="53"/>
    </row>
    <row r="817" spans="1:1" ht="13.2">
      <c r="A817" s="53"/>
    </row>
    <row r="818" spans="1:1" ht="13.2">
      <c r="A818" s="53"/>
    </row>
    <row r="819" spans="1:1" ht="13.2">
      <c r="A819" s="53"/>
    </row>
    <row r="820" spans="1:1" ht="13.2">
      <c r="A820" s="53"/>
    </row>
    <row r="821" spans="1:1" ht="13.2">
      <c r="A821" s="53"/>
    </row>
    <row r="822" spans="1:1" ht="13.2">
      <c r="A822" s="53"/>
    </row>
    <row r="823" spans="1:1" ht="13.2">
      <c r="A823" s="53"/>
    </row>
    <row r="824" spans="1:1" ht="13.2">
      <c r="A824" s="53"/>
    </row>
    <row r="825" spans="1:1" ht="13.2">
      <c r="A825" s="53"/>
    </row>
    <row r="826" spans="1:1" ht="13.2">
      <c r="A826" s="53"/>
    </row>
    <row r="827" spans="1:1" ht="13.2">
      <c r="A827" s="53"/>
    </row>
    <row r="828" spans="1:1" ht="13.2">
      <c r="A828" s="53"/>
    </row>
    <row r="829" spans="1:1" ht="13.2">
      <c r="A829" s="53"/>
    </row>
    <row r="830" spans="1:1" ht="13.2">
      <c r="A830" s="53"/>
    </row>
    <row r="831" spans="1:1" ht="13.2">
      <c r="A831" s="53"/>
    </row>
    <row r="832" spans="1:1" ht="13.2">
      <c r="A832" s="53"/>
    </row>
    <row r="833" spans="1:1" ht="13.2">
      <c r="A833" s="53"/>
    </row>
    <row r="834" spans="1:1" ht="13.2">
      <c r="A834" s="53"/>
    </row>
    <row r="835" spans="1:1" ht="13.2">
      <c r="A835" s="53"/>
    </row>
    <row r="836" spans="1:1" ht="13.2">
      <c r="A836" s="53"/>
    </row>
    <row r="837" spans="1:1" ht="13.2">
      <c r="A837" s="53"/>
    </row>
    <row r="838" spans="1:1" ht="13.2">
      <c r="A838" s="53"/>
    </row>
    <row r="839" spans="1:1" ht="13.2">
      <c r="A839" s="53"/>
    </row>
    <row r="840" spans="1:1" ht="13.2">
      <c r="A840" s="53"/>
    </row>
    <row r="841" spans="1:1" ht="13.2">
      <c r="A841" s="53"/>
    </row>
    <row r="842" spans="1:1" ht="13.2">
      <c r="A842" s="53"/>
    </row>
    <row r="843" spans="1:1" ht="13.2">
      <c r="A843" s="53"/>
    </row>
    <row r="844" spans="1:1" ht="13.2">
      <c r="A844" s="53"/>
    </row>
    <row r="845" spans="1:1" ht="13.2">
      <c r="A845" s="53"/>
    </row>
    <row r="846" spans="1:1" ht="13.2">
      <c r="A846" s="53"/>
    </row>
    <row r="847" spans="1:1" ht="13.2">
      <c r="A847" s="53"/>
    </row>
    <row r="848" spans="1:1" ht="13.2">
      <c r="A848" s="53"/>
    </row>
    <row r="849" spans="1:1" ht="13.2">
      <c r="A849" s="53"/>
    </row>
    <row r="850" spans="1:1" ht="13.2">
      <c r="A850" s="53"/>
    </row>
    <row r="851" spans="1:1" ht="13.2">
      <c r="A851" s="53"/>
    </row>
    <row r="852" spans="1:1" ht="13.2">
      <c r="A852" s="53"/>
    </row>
    <row r="853" spans="1:1" ht="13.2">
      <c r="A853" s="53"/>
    </row>
    <row r="854" spans="1:1" ht="13.2">
      <c r="A854" s="53"/>
    </row>
    <row r="855" spans="1:1" ht="13.2">
      <c r="A855" s="53"/>
    </row>
    <row r="856" spans="1:1" ht="13.2">
      <c r="A856" s="53"/>
    </row>
    <row r="857" spans="1:1" ht="13.2">
      <c r="A857" s="53"/>
    </row>
    <row r="858" spans="1:1" ht="13.2">
      <c r="A858" s="53"/>
    </row>
    <row r="859" spans="1:1" ht="13.2">
      <c r="A859" s="53"/>
    </row>
    <row r="860" spans="1:1" ht="13.2">
      <c r="A860" s="53"/>
    </row>
    <row r="861" spans="1:1" ht="13.2">
      <c r="A861" s="53"/>
    </row>
    <row r="862" spans="1:1" ht="13.2">
      <c r="A862" s="53"/>
    </row>
    <row r="863" spans="1:1" ht="13.2">
      <c r="A863" s="53"/>
    </row>
    <row r="864" spans="1:1" ht="13.2">
      <c r="A864" s="53"/>
    </row>
    <row r="865" spans="1:1" ht="13.2">
      <c r="A865" s="53"/>
    </row>
    <row r="866" spans="1:1" ht="13.2">
      <c r="A866" s="53"/>
    </row>
    <row r="867" spans="1:1" ht="13.2">
      <c r="A867" s="53"/>
    </row>
    <row r="868" spans="1:1" ht="13.2">
      <c r="A868" s="53"/>
    </row>
    <row r="869" spans="1:1" ht="13.2">
      <c r="A869" s="53"/>
    </row>
    <row r="870" spans="1:1" ht="13.2">
      <c r="A870" s="53"/>
    </row>
    <row r="871" spans="1:1" ht="13.2">
      <c r="A871" s="53"/>
    </row>
    <row r="872" spans="1:1" ht="13.2">
      <c r="A872" s="53"/>
    </row>
    <row r="873" spans="1:1" ht="13.2">
      <c r="A873" s="53"/>
    </row>
    <row r="874" spans="1:1" ht="13.2">
      <c r="A874" s="53"/>
    </row>
    <row r="875" spans="1:1" ht="13.2">
      <c r="A875" s="53"/>
    </row>
    <row r="876" spans="1:1" ht="13.2">
      <c r="A876" s="53"/>
    </row>
    <row r="877" spans="1:1" ht="13.2">
      <c r="A877" s="53"/>
    </row>
    <row r="878" spans="1:1" ht="13.2">
      <c r="A878" s="53"/>
    </row>
    <row r="879" spans="1:1" ht="13.2">
      <c r="A879" s="53"/>
    </row>
    <row r="880" spans="1:1" ht="13.2">
      <c r="A880" s="53"/>
    </row>
    <row r="881" spans="1:1" ht="13.2">
      <c r="A881" s="53"/>
    </row>
    <row r="882" spans="1:1" ht="13.2">
      <c r="A882" s="53"/>
    </row>
    <row r="883" spans="1:1" ht="13.2">
      <c r="A883" s="53"/>
    </row>
    <row r="884" spans="1:1" ht="13.2">
      <c r="A884" s="53"/>
    </row>
    <row r="885" spans="1:1" ht="13.2">
      <c r="A885" s="53"/>
    </row>
    <row r="886" spans="1:1" ht="13.2">
      <c r="A886" s="53"/>
    </row>
    <row r="887" spans="1:1" ht="13.2">
      <c r="A887" s="53"/>
    </row>
    <row r="888" spans="1:1" ht="13.2">
      <c r="A888" s="53"/>
    </row>
    <row r="889" spans="1:1" ht="13.2">
      <c r="A889" s="53"/>
    </row>
    <row r="890" spans="1:1" ht="13.2">
      <c r="A890" s="53"/>
    </row>
    <row r="891" spans="1:1" ht="13.2">
      <c r="A891" s="53"/>
    </row>
    <row r="892" spans="1:1" ht="13.2">
      <c r="A892" s="53"/>
    </row>
    <row r="893" spans="1:1" ht="13.2">
      <c r="A893" s="53"/>
    </row>
    <row r="894" spans="1:1" ht="13.2">
      <c r="A894" s="53"/>
    </row>
    <row r="895" spans="1:1" ht="13.2">
      <c r="A895" s="53"/>
    </row>
    <row r="896" spans="1:1" ht="13.2">
      <c r="A896" s="53"/>
    </row>
    <row r="897" spans="1:1" ht="13.2">
      <c r="A897" s="53"/>
    </row>
    <row r="898" spans="1:1" ht="13.2">
      <c r="A898" s="53"/>
    </row>
    <row r="899" spans="1:1" ht="13.2">
      <c r="A899" s="53"/>
    </row>
    <row r="900" spans="1:1" ht="13.2">
      <c r="A900" s="53"/>
    </row>
    <row r="901" spans="1:1" ht="13.2">
      <c r="A901" s="53"/>
    </row>
    <row r="902" spans="1:1" ht="13.2">
      <c r="A902" s="53"/>
    </row>
    <row r="903" spans="1:1" ht="13.2">
      <c r="A903" s="53"/>
    </row>
    <row r="904" spans="1:1" ht="13.2">
      <c r="A904" s="53"/>
    </row>
    <row r="905" spans="1:1" ht="13.2">
      <c r="A905" s="53"/>
    </row>
    <row r="906" spans="1:1" ht="13.2">
      <c r="A906" s="53"/>
    </row>
    <row r="907" spans="1:1" ht="13.2">
      <c r="A907" s="53"/>
    </row>
    <row r="908" spans="1:1" ht="13.2">
      <c r="A908" s="53"/>
    </row>
    <row r="909" spans="1:1" ht="13.2">
      <c r="A909" s="53"/>
    </row>
    <row r="910" spans="1:1" ht="13.2">
      <c r="A910" s="53"/>
    </row>
    <row r="911" spans="1:1" ht="13.2">
      <c r="A911" s="53"/>
    </row>
    <row r="912" spans="1:1" ht="13.2">
      <c r="A912" s="53"/>
    </row>
    <row r="913" spans="1:1" ht="13.2">
      <c r="A913" s="53"/>
    </row>
    <row r="914" spans="1:1" ht="13.2">
      <c r="A914" s="53"/>
    </row>
    <row r="915" spans="1:1" ht="13.2">
      <c r="A915" s="53"/>
    </row>
    <row r="916" spans="1:1" ht="13.2">
      <c r="A916" s="53"/>
    </row>
    <row r="917" spans="1:1" ht="13.2">
      <c r="A917" s="53"/>
    </row>
    <row r="918" spans="1:1" ht="13.2">
      <c r="A918" s="53"/>
    </row>
    <row r="919" spans="1:1" ht="13.2">
      <c r="A919" s="53"/>
    </row>
    <row r="920" spans="1:1" ht="13.2">
      <c r="A920" s="53"/>
    </row>
    <row r="921" spans="1:1" ht="13.2">
      <c r="A921" s="53"/>
    </row>
    <row r="922" spans="1:1" ht="13.2">
      <c r="A922" s="53"/>
    </row>
    <row r="923" spans="1:1" ht="13.2">
      <c r="A923" s="53"/>
    </row>
    <row r="924" spans="1:1" ht="13.2">
      <c r="A924" s="53"/>
    </row>
    <row r="925" spans="1:1" ht="13.2">
      <c r="A925" s="53"/>
    </row>
    <row r="926" spans="1:1" ht="13.2">
      <c r="A926" s="53"/>
    </row>
    <row r="927" spans="1:1" ht="13.2">
      <c r="A927" s="53"/>
    </row>
    <row r="928" spans="1:1" ht="13.2">
      <c r="A928" s="53"/>
    </row>
    <row r="929" spans="1:1" ht="13.2">
      <c r="A929" s="53"/>
    </row>
    <row r="930" spans="1:1" ht="13.2">
      <c r="A930" s="53"/>
    </row>
    <row r="931" spans="1:1" ht="13.2">
      <c r="A931" s="53"/>
    </row>
    <row r="932" spans="1:1" ht="13.2">
      <c r="A932" s="53"/>
    </row>
    <row r="933" spans="1:1" ht="13.2">
      <c r="A933" s="53"/>
    </row>
    <row r="934" spans="1:1" ht="13.2">
      <c r="A934" s="53"/>
    </row>
    <row r="935" spans="1:1" ht="13.2">
      <c r="A935" s="53"/>
    </row>
    <row r="936" spans="1:1" ht="13.2">
      <c r="A936" s="53"/>
    </row>
    <row r="937" spans="1:1" ht="13.2">
      <c r="A937" s="53"/>
    </row>
    <row r="938" spans="1:1" ht="13.2">
      <c r="A938" s="53"/>
    </row>
    <row r="939" spans="1:1" ht="13.2">
      <c r="A939" s="53"/>
    </row>
    <row r="940" spans="1:1" ht="13.2">
      <c r="A940" s="53"/>
    </row>
    <row r="941" spans="1:1" ht="13.2">
      <c r="A941" s="53"/>
    </row>
    <row r="942" spans="1:1" ht="13.2">
      <c r="A942" s="53"/>
    </row>
    <row r="943" spans="1:1" ht="13.2">
      <c r="A943" s="53"/>
    </row>
    <row r="944" spans="1:1" ht="13.2">
      <c r="A944" s="53"/>
    </row>
    <row r="945" spans="1:1" ht="13.2">
      <c r="A945" s="53"/>
    </row>
    <row r="946" spans="1:1" ht="13.2">
      <c r="A946" s="53"/>
    </row>
    <row r="947" spans="1:1" ht="13.2">
      <c r="A947" s="53"/>
    </row>
    <row r="948" spans="1:1" ht="13.2">
      <c r="A948" s="53"/>
    </row>
    <row r="949" spans="1:1" ht="13.2">
      <c r="A949" s="53"/>
    </row>
    <row r="950" spans="1:1" ht="13.2">
      <c r="A950" s="53"/>
    </row>
    <row r="951" spans="1:1" ht="13.2">
      <c r="A951" s="53"/>
    </row>
    <row r="952" spans="1:1" ht="13.2">
      <c r="A952" s="53"/>
    </row>
    <row r="953" spans="1:1" ht="13.2">
      <c r="A953" s="53"/>
    </row>
    <row r="954" spans="1:1" ht="13.2">
      <c r="A954" s="53"/>
    </row>
    <row r="955" spans="1:1" ht="13.2">
      <c r="A955" s="53"/>
    </row>
    <row r="956" spans="1:1" ht="13.2">
      <c r="A956" s="53"/>
    </row>
    <row r="957" spans="1:1" ht="13.2">
      <c r="A957" s="53"/>
    </row>
    <row r="958" spans="1:1" ht="13.2">
      <c r="A958" s="53"/>
    </row>
    <row r="959" spans="1:1" ht="13.2">
      <c r="A959" s="53"/>
    </row>
    <row r="960" spans="1:1" ht="13.2">
      <c r="A960" s="53"/>
    </row>
    <row r="961" spans="1:67" ht="13.2">
      <c r="A961" s="53"/>
    </row>
    <row r="962" spans="1:67" ht="13.2">
      <c r="A962" s="53"/>
    </row>
    <row r="963" spans="1:67" ht="13.2">
      <c r="A963" s="53"/>
    </row>
    <row r="964" spans="1:67" ht="13.2">
      <c r="A964" s="53"/>
    </row>
    <row r="965" spans="1:67" ht="13.2">
      <c r="A965" s="53"/>
    </row>
    <row r="966" spans="1:67" ht="13.2">
      <c r="A966" s="53"/>
    </row>
    <row r="967" spans="1:67" ht="13.2">
      <c r="A967" s="53"/>
    </row>
    <row r="968" spans="1:67" ht="13.2">
      <c r="A968" s="53"/>
    </row>
    <row r="969" spans="1:67" ht="13.2">
      <c r="A969" s="53"/>
    </row>
    <row r="970" spans="1:67" ht="13.2">
      <c r="A970" s="53"/>
    </row>
    <row r="971" spans="1:67" ht="13.2">
      <c r="A971" s="53"/>
    </row>
    <row r="972" spans="1:67" ht="13.2">
      <c r="A972" s="53"/>
    </row>
    <row r="973" spans="1:67" ht="13.2">
      <c r="A973" s="53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  <c r="AC973" s="4"/>
      <c r="AD973" s="4"/>
      <c r="AE973" s="4"/>
      <c r="AF973" s="4"/>
      <c r="AG973" s="4"/>
      <c r="AH973" s="4"/>
      <c r="AI973" s="4"/>
      <c r="AJ973" s="4"/>
      <c r="AK973" s="4"/>
      <c r="AL973" s="4"/>
      <c r="AM973" s="4"/>
      <c r="AN973" s="4"/>
      <c r="AO973" s="4"/>
      <c r="AP973" s="4"/>
      <c r="AQ973" s="4"/>
      <c r="AR973" s="4"/>
      <c r="AS973" s="4"/>
      <c r="AT973" s="4"/>
      <c r="AU973" s="4"/>
      <c r="AV973" s="4"/>
      <c r="AW973" s="4"/>
      <c r="AX973" s="4"/>
      <c r="AY973" s="4"/>
      <c r="AZ973" s="4"/>
      <c r="BA973" s="4"/>
      <c r="BB973" s="4"/>
      <c r="BC973" s="4"/>
      <c r="BD973" s="4"/>
      <c r="BE973" s="4"/>
      <c r="BF973" s="4"/>
      <c r="BG973" s="4"/>
      <c r="BH973" s="4"/>
      <c r="BI973" s="4"/>
      <c r="BJ973" s="4"/>
      <c r="BK973" s="4"/>
      <c r="BL973" s="4"/>
      <c r="BM973" s="4"/>
      <c r="BN973" s="4"/>
      <c r="BO973" s="4"/>
    </row>
    <row r="974" spans="1:67" ht="13.2">
      <c r="A974" s="53"/>
    </row>
    <row r="975" spans="1:67" ht="13.2">
      <c r="A975" s="53"/>
    </row>
    <row r="976" spans="1:67" ht="13.2">
      <c r="A976" s="53"/>
    </row>
    <row r="977" spans="1:1" ht="13.2">
      <c r="A977" s="53"/>
    </row>
    <row r="978" spans="1:1" ht="13.2">
      <c r="A978" s="53"/>
    </row>
    <row r="979" spans="1:1" ht="13.2">
      <c r="A979" s="53"/>
    </row>
    <row r="980" spans="1:1" ht="13.2">
      <c r="A980" s="53"/>
    </row>
    <row r="981" spans="1:1" ht="13.2">
      <c r="A981" s="53"/>
    </row>
    <row r="982" spans="1:1" ht="13.2">
      <c r="A982" s="53"/>
    </row>
    <row r="983" spans="1:1" ht="13.2">
      <c r="A983" s="53"/>
    </row>
    <row r="984" spans="1:1" ht="13.2">
      <c r="A984" s="53"/>
    </row>
    <row r="985" spans="1:1" ht="13.2">
      <c r="A985" s="53"/>
    </row>
    <row r="986" spans="1:1" ht="13.2">
      <c r="A986" s="53"/>
    </row>
    <row r="987" spans="1:1" ht="13.2">
      <c r="A987" s="53"/>
    </row>
    <row r="988" spans="1:1" ht="13.2">
      <c r="A988" s="53"/>
    </row>
    <row r="989" spans="1:1" ht="13.2">
      <c r="A989" s="53"/>
    </row>
    <row r="990" spans="1:1" ht="13.2">
      <c r="A990" s="53"/>
    </row>
    <row r="991" spans="1:1" ht="13.2">
      <c r="A991" s="53"/>
    </row>
    <row r="992" spans="1:1" ht="13.2">
      <c r="A992" s="53"/>
    </row>
    <row r="993" spans="1:7" ht="13.2">
      <c r="A993" s="53"/>
    </row>
    <row r="994" spans="1:7" ht="13.2">
      <c r="A994" s="53"/>
    </row>
    <row r="995" spans="1:7" ht="13.2">
      <c r="A995" s="53"/>
    </row>
    <row r="996" spans="1:7" ht="13.2">
      <c r="A996" s="70"/>
      <c r="B996" s="4"/>
      <c r="C996" s="4"/>
      <c r="D996" s="4"/>
      <c r="E996" s="4"/>
      <c r="F996" s="4"/>
      <c r="G996" s="4"/>
    </row>
  </sheetData>
  <mergeCells count="24">
    <mergeCell ref="BK6:BO6"/>
    <mergeCell ref="C6:C7"/>
    <mergeCell ref="A3:G3"/>
    <mergeCell ref="A6:A7"/>
    <mergeCell ref="B6:B7"/>
    <mergeCell ref="F6:F7"/>
    <mergeCell ref="E6:E7"/>
    <mergeCell ref="D6:D7"/>
    <mergeCell ref="G6:G7"/>
    <mergeCell ref="AL6:AP6"/>
    <mergeCell ref="AQ6:AU6"/>
    <mergeCell ref="AV6:AZ6"/>
    <mergeCell ref="BA6:BE6"/>
    <mergeCell ref="AG6:AK6"/>
    <mergeCell ref="AB6:AF6"/>
    <mergeCell ref="R6:V6"/>
    <mergeCell ref="C20:G20"/>
    <mergeCell ref="C15:G15"/>
    <mergeCell ref="C27:G27"/>
    <mergeCell ref="C8:G8"/>
    <mergeCell ref="BF6:BJ6"/>
    <mergeCell ref="H6:L6"/>
    <mergeCell ref="M6:Q6"/>
    <mergeCell ref="W6:AA6"/>
  </mergeCells>
  <conditionalFormatting sqref="G9:G14 G16:G19 G21:G26 G28:G31">
    <cfRule type="colorScale" priority="1">
      <colorScale>
        <cfvo type="percent" val="0"/>
        <cfvo type="percent" val="100"/>
        <color rgb="FFFFFFFF"/>
        <color rgb="FF5CBCD6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Gantt Chart w % Complete</vt:lpstr>
      <vt:lpstr>Basic Gantt Chart</vt:lpstr>
      <vt:lpstr>Manual Chart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Morton</dc:creator>
  <cp:lastModifiedBy>ZLaP</cp:lastModifiedBy>
  <cp:lastPrinted>2020-04-14T18:28:40Z</cp:lastPrinted>
  <dcterms:created xsi:type="dcterms:W3CDTF">2018-06-20T16:10:08Z</dcterms:created>
  <dcterms:modified xsi:type="dcterms:W3CDTF">2020-07-09T19:22:38Z</dcterms:modified>
</cp:coreProperties>
</file>