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LaP\Desktop\PFE\"/>
    </mc:Choice>
  </mc:AlternateContent>
  <xr:revisionPtr revIDLastSave="0" documentId="13_ncr:1_{1A849666-FE22-45F4-BF13-E2613A3E8160}" xr6:coauthVersionLast="45" xr6:coauthVersionMax="45" xr10:uidLastSave="{00000000-0000-0000-0000-000000000000}"/>
  <bookViews>
    <workbookView xWindow="-108" yWindow="-108" windowWidth="22320" windowHeight="13176" activeTab="1" xr2:uid="{00000000-000D-0000-FFFF-FFFF00000000}"/>
  </bookViews>
  <sheets>
    <sheet name="Gantt Chart w % Complete" sheetId="1" r:id="rId1"/>
    <sheet name="Basic Gantt Chart" sheetId="2" r:id="rId2"/>
    <sheet name="Manual Chart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G11" i="1"/>
  <c r="G16" i="1"/>
  <c r="H16" i="1" s="1"/>
  <c r="G21" i="1"/>
  <c r="H21" i="1" s="1"/>
  <c r="G26" i="1"/>
  <c r="H26" i="1" s="1"/>
  <c r="F15" i="1"/>
  <c r="F16" i="1"/>
  <c r="F17" i="1"/>
  <c r="F18" i="1"/>
  <c r="F20" i="1"/>
  <c r="F21" i="1"/>
  <c r="F22" i="1"/>
  <c r="F23" i="1"/>
  <c r="F24" i="1"/>
  <c r="F26" i="1"/>
  <c r="F27" i="1"/>
  <c r="F28" i="1"/>
  <c r="F29" i="1"/>
  <c r="G29" i="1" s="1"/>
  <c r="H29" i="1" s="1"/>
  <c r="F10" i="1"/>
  <c r="G10" i="1" s="1"/>
  <c r="F11" i="1"/>
  <c r="H11" i="1" s="1"/>
  <c r="F12" i="1"/>
  <c r="G12" i="1" s="1"/>
  <c r="H12" i="1" s="1"/>
  <c r="F13" i="1"/>
  <c r="G13" i="1" s="1"/>
  <c r="H13" i="1" s="1"/>
  <c r="H28" i="1" l="1"/>
  <c r="H27" i="1"/>
  <c r="H22" i="1"/>
  <c r="G27" i="1"/>
  <c r="G22" i="1"/>
  <c r="G17" i="1"/>
  <c r="H17" i="1" s="1"/>
  <c r="H10" i="1"/>
  <c r="G24" i="1"/>
  <c r="H24" i="1" s="1"/>
  <c r="G20" i="1"/>
  <c r="H20" i="1" s="1"/>
  <c r="G15" i="1"/>
  <c r="H15" i="1" s="1"/>
  <c r="G28" i="1"/>
  <c r="G23" i="1"/>
  <c r="H23" i="1" s="1"/>
  <c r="G18" i="1"/>
  <c r="H18" i="1" s="1"/>
  <c r="H9" i="1"/>
  <c r="E29" i="3"/>
  <c r="E30" i="3"/>
  <c r="E31" i="3"/>
  <c r="E28" i="3"/>
  <c r="E22" i="3"/>
  <c r="E23" i="3"/>
  <c r="E24" i="3"/>
  <c r="E25" i="3"/>
  <c r="E26" i="3"/>
  <c r="E21" i="3"/>
  <c r="E17" i="3"/>
  <c r="E18" i="3"/>
  <c r="E19" i="3"/>
  <c r="E16" i="3"/>
  <c r="E10" i="3"/>
  <c r="E11" i="3"/>
  <c r="E12" i="3"/>
  <c r="E13" i="3"/>
  <c r="E14" i="3"/>
  <c r="E9" i="3"/>
  <c r="D29" i="1" l="1"/>
  <c r="D28" i="1"/>
  <c r="D27" i="1"/>
  <c r="D26" i="1"/>
  <c r="D24" i="1"/>
  <c r="D23" i="1"/>
  <c r="D22" i="1"/>
  <c r="D21" i="1"/>
  <c r="D20" i="1"/>
  <c r="D18" i="1"/>
  <c r="D17" i="1"/>
  <c r="D16" i="1"/>
  <c r="D15" i="1"/>
  <c r="D13" i="1"/>
  <c r="D12" i="1"/>
  <c r="D11" i="1"/>
  <c r="D10" i="1"/>
  <c r="D9" i="1"/>
  <c r="B3" i="1"/>
</calcChain>
</file>

<file path=xl/sharedStrings.xml><?xml version="1.0" encoding="utf-8"?>
<sst xmlns="http://schemas.openxmlformats.org/spreadsheetml/2006/main" count="238" uniqueCount="117">
  <si>
    <t>GANTT CHART TEMPLATE</t>
  </si>
  <si>
    <t>TASK NAME</t>
  </si>
  <si>
    <t>START DATE</t>
  </si>
  <si>
    <t>END DATE</t>
  </si>
  <si>
    <t>DURATION (WORK DAYS)</t>
  </si>
  <si>
    <t>TEAM MEMBER</t>
  </si>
  <si>
    <t>PERCENT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</si>
  <si>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</si>
  <si>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</si>
  <si>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</si>
  <si>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</si>
  <si>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</si>
  <si>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</si>
  <si>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</si>
  <si>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</si>
  <si>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</si>
  <si>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</si>
  <si>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</si>
  <si>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</si>
  <si>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</si>
  <si>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</si>
  <si>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</si>
  <si>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Th</t>
  </si>
  <si>
    <t>F</t>
  </si>
  <si>
    <t>First Sample Project</t>
  </si>
  <si>
    <t>Write Landing Page Copy</t>
  </si>
  <si>
    <t>Nathan</t>
  </si>
  <si>
    <t>Meredith</t>
  </si>
  <si>
    <t>Review Landing Page Design</t>
  </si>
  <si>
    <t>Brandon</t>
  </si>
  <si>
    <t>Build Landing Page</t>
  </si>
  <si>
    <t>Michael</t>
  </si>
  <si>
    <t>Code Review Landing Page</t>
  </si>
  <si>
    <t>Rachel</t>
  </si>
  <si>
    <t>Promote Landing Page</t>
  </si>
  <si>
    <t>Annie</t>
  </si>
  <si>
    <t>Second Sample Project</t>
  </si>
  <si>
    <t>Write Promotional Email</t>
  </si>
  <si>
    <t>Design Promotional Email</t>
  </si>
  <si>
    <t>Send Promotional Email to Contacts</t>
  </si>
  <si>
    <t>Analyze Results of Email Campagin</t>
  </si>
  <si>
    <t>Third Sample Project</t>
  </si>
  <si>
    <t>Plan Agenda for Team Meeting</t>
  </si>
  <si>
    <t>Reserve Room and Resources for Meeting</t>
  </si>
  <si>
    <t>Finalize Team Presentation</t>
  </si>
  <si>
    <t>Review &amp; Approve Presentation</t>
  </si>
  <si>
    <t>Create Invitations for Meeting</t>
  </si>
  <si>
    <t>Setup Room for Meeting</t>
  </si>
  <si>
    <t>Fourth Sample Project</t>
  </si>
  <si>
    <t>* = an automatically calculated cell</t>
  </si>
  <si>
    <t>Rewrite Code for Online Calculator</t>
  </si>
  <si>
    <t>DURATION* (WORK DAYS)</t>
  </si>
  <si>
    <t>Code Review Updated Calculator</t>
  </si>
  <si>
    <t>DAY OF MONTH*</t>
  </si>
  <si>
    <t>DAYS COMPLETE*</t>
  </si>
  <si>
    <t>DAYS REMAINING*</t>
  </si>
  <si>
    <t>Update Messaging for Calculator</t>
  </si>
  <si>
    <t>Publish New Calculator to Site</t>
  </si>
  <si>
    <t>Approve Page Copy</t>
  </si>
  <si>
    <t>Send Promotional Email</t>
  </si>
  <si>
    <t>Analyze Campaign Results</t>
  </si>
  <si>
    <t>Plan Agenda for Meeting</t>
  </si>
  <si>
    <t>Reserve Room</t>
  </si>
  <si>
    <t>Finalize Presentation</t>
  </si>
  <si>
    <t>Approve Presentation</t>
  </si>
  <si>
    <t>Create Invitations</t>
  </si>
  <si>
    <t>Rewrite Online Calculator</t>
  </si>
  <si>
    <t>Code Review Calculator</t>
  </si>
  <si>
    <t>Update Messaging</t>
  </si>
  <si>
    <t>Publish Calculator</t>
  </si>
  <si>
    <t>GANTT Diagram</t>
  </si>
  <si>
    <t>Formation et étude de l'existant</t>
  </si>
  <si>
    <t xml:space="preserve"> </t>
  </si>
  <si>
    <t>7jours</t>
  </si>
  <si>
    <t>3jours</t>
  </si>
  <si>
    <t>4jours</t>
  </si>
  <si>
    <t xml:space="preserve"> Spécifications générales</t>
  </si>
  <si>
    <t xml:space="preserve">   Identification des besoins</t>
  </si>
  <si>
    <t xml:space="preserve">   Spécifications  fonctionnelles</t>
  </si>
  <si>
    <t xml:space="preserve">   Spécifications non fonctionnelles</t>
  </si>
  <si>
    <t xml:space="preserve">   Comprendre le fonctionnement  de service scaling</t>
  </si>
  <si>
    <t xml:space="preserve">   Comprendre le fonctionnement  de service watcher</t>
  </si>
  <si>
    <t xml:space="preserve">   Comprendre l'architecture Microservice</t>
  </si>
  <si>
    <t xml:space="preserve">   Formation C#,Solid,UnitTesting …</t>
  </si>
  <si>
    <t xml:space="preserve">   Implémenter les interfaces</t>
  </si>
  <si>
    <t xml:space="preserve">   Les tests d'intégration</t>
  </si>
  <si>
    <t xml:space="preserve">   Gérer les dépendances du temps entre les différentes interfaces</t>
  </si>
  <si>
    <t xml:space="preserve"> Itération 3 : Refactoring du code &amp; Adaptation aux normes SOLID</t>
  </si>
  <si>
    <t xml:space="preserve">   Implémentetr l'interface</t>
  </si>
  <si>
    <t xml:space="preserve">   les tests unitaires  </t>
  </si>
  <si>
    <t xml:space="preserve">   les tests d'integration </t>
  </si>
  <si>
    <t xml:space="preserve">START DATE </t>
  </si>
  <si>
    <t xml:space="preserve">END DATE </t>
  </si>
  <si>
    <t>WORK DAYS</t>
  </si>
  <si>
    <t xml:space="preserve">   Les tests unitaires</t>
  </si>
  <si>
    <t xml:space="preserve">   Générer le fichier des résults des workers</t>
  </si>
  <si>
    <t xml:space="preserve"> Itération 4 : Afficher l'état des workers et Implémenter les testes d'intégration</t>
  </si>
  <si>
    <t xml:space="preserve"> Itération 5 : Extendre la configuration et Afficher le temps d'exécution des requetes</t>
  </si>
  <si>
    <t xml:space="preserve">   Intégrer IConfigurationHlder à la solution existante</t>
  </si>
  <si>
    <t xml:space="preserve">   Générer un fichier qui contient le temps d'exécution et le temps d'attente de chaque requete </t>
  </si>
  <si>
    <t xml:space="preserve"> Itération 1 : Implémentation des fonctionnalités de base</t>
  </si>
  <si>
    <t>8jours</t>
  </si>
  <si>
    <t xml:space="preserve">   Création de l'interface IConfigurationHolder qui représente une configuration hebdomadaire</t>
  </si>
  <si>
    <t xml:space="preserve">   Documentation sur l'objet de configuration Json</t>
  </si>
  <si>
    <t xml:space="preserve">   Extraction des  requetes clients à partir d'un fichier csv</t>
  </si>
  <si>
    <t xml:space="preserve">   Extraire une unité de configuration à partir d'un fichier Json  </t>
  </si>
  <si>
    <t xml:space="preserve">   Conception de la structure de donnée  pour le simulateiur Cloud</t>
  </si>
  <si>
    <t xml:space="preserve"> Itération 2 : Implémenattion du cloud Simulateur</t>
  </si>
  <si>
    <t xml:space="preserve">   Conception de la notion du temps de simulateur</t>
  </si>
  <si>
    <t xml:space="preserve">   Implémenter les fonctionnalités du temps (GetTime,SetTime,addSeconds...)</t>
  </si>
  <si>
    <t xml:space="preserve">   Extension de l'objet configuartion pour  couvrir les jours de la semaine</t>
  </si>
  <si>
    <t>10 jours</t>
  </si>
  <si>
    <t>10jours</t>
  </si>
  <si>
    <t xml:space="preserve">   Conception des  des interfaces Configuration, ClientRequest, et Worker</t>
  </si>
  <si>
    <t xml:space="preserve">   Implémenter ls fonctionnaités de simulateur cloud (Queue,Scaler,LoadBalnacing)</t>
  </si>
  <si>
    <t xml:space="preserve">   Décomposition de l'interface CloudSimulator en sous Interfaces</t>
  </si>
  <si>
    <t xml:space="preserve">   Création des interfaces (QueueSimlator,ScalerSimulatro,Orchestrator)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</si>
</sst>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&quot;/&quot;d"/>
  </numFmts>
  <fonts count="33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26"/>
      <color rgb="FF576C88"/>
      <name val="Calibri"/>
    </font>
    <font>
      <sz val="10"/>
      <name val="Arial"/>
    </font>
    <font>
      <b/>
      <sz val="12"/>
      <color rgb="FF0B5394"/>
      <name val="Roboto"/>
    </font>
    <font>
      <sz val="12"/>
      <color rgb="FF0B5394"/>
      <name val="Roboto"/>
    </font>
    <font>
      <b/>
      <sz val="10"/>
      <color rgb="FFFFFFFF"/>
      <name val="Calibri"/>
    </font>
    <font>
      <b/>
      <sz val="11"/>
      <color rgb="FF666666"/>
      <name val="Calibri"/>
    </font>
    <font>
      <b/>
      <sz val="12"/>
      <color rgb="FF000000"/>
      <name val="Calibri"/>
    </font>
    <font>
      <sz val="10"/>
      <name val="Calibri"/>
    </font>
    <font>
      <sz val="11"/>
      <color rgb="FF434343"/>
      <name val="Calibri"/>
    </font>
    <font>
      <b/>
      <u/>
      <sz val="14"/>
      <color rgb="FF57BB8A"/>
      <name val="Calibri"/>
    </font>
    <font>
      <sz val="10"/>
      <color rgb="FF576C88"/>
      <name val="Calibri"/>
    </font>
    <font>
      <sz val="14"/>
      <color rgb="FF576C88"/>
      <name val="Calibri"/>
    </font>
    <font>
      <sz val="11"/>
      <color rgb="FF000000"/>
      <name val="Calibri"/>
    </font>
    <font>
      <sz val="26"/>
      <color rgb="FF576C88"/>
      <name val="Calibri"/>
      <family val="2"/>
    </font>
    <font>
      <b/>
      <sz val="16"/>
      <color rgb="FF666666"/>
      <name val="Calibri"/>
      <family val="2"/>
    </font>
    <font>
      <sz val="16"/>
      <color rgb="FF000000"/>
      <name val="Arial"/>
      <family val="2"/>
    </font>
    <font>
      <sz val="16"/>
      <name val="Calibri"/>
      <family val="2"/>
    </font>
    <font>
      <sz val="16"/>
      <name val="Arial"/>
      <family val="2"/>
    </font>
    <font>
      <sz val="12"/>
      <color rgb="FF434343"/>
      <name val="Calibri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2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ADEE"/>
        <bgColor rgb="FF00ADEE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FD1CD"/>
        <bgColor rgb="FF7FD1CD"/>
      </patternFill>
    </fill>
    <fill>
      <patternFill patternType="solid">
        <fgColor rgb="FF57BB8A"/>
        <bgColor rgb="FF57BB8A"/>
      </patternFill>
    </fill>
    <fill>
      <patternFill patternType="solid">
        <fgColor rgb="FFF3F3F3"/>
        <bgColor rgb="FFF3F3F3"/>
      </patternFill>
    </fill>
    <fill>
      <patternFill patternType="solid">
        <fgColor rgb="FF5CBCD6"/>
        <bgColor rgb="FF5CBCD6"/>
      </patternFill>
    </fill>
    <fill>
      <patternFill patternType="solid">
        <fgColor rgb="FFBCE4D1"/>
        <bgColor rgb="FFBCE4D1"/>
      </patternFill>
    </fill>
    <fill>
      <patternFill patternType="solid">
        <fgColor rgb="FF8AD0AE"/>
        <bgColor rgb="FF8AD0AE"/>
      </patternFill>
    </fill>
    <fill>
      <patternFill patternType="solid">
        <fgColor rgb="FF9BD7B9"/>
        <bgColor rgb="FF9BD7B9"/>
      </patternFill>
    </fill>
    <fill>
      <patternFill patternType="solid">
        <fgColor rgb="FFDBF1E6"/>
        <bgColor rgb="FFDBF1E6"/>
      </patternFill>
    </fill>
    <fill>
      <patternFill patternType="solid">
        <fgColor rgb="FFE5F5ED"/>
        <bgColor rgb="FFE5F5ED"/>
      </patternFill>
    </fill>
    <fill>
      <patternFill patternType="solid">
        <fgColor theme="6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/>
      <right style="thin">
        <color rgb="FFB7B7B7"/>
      </right>
      <top/>
      <bottom style="hair">
        <color rgb="FFB7B7B7"/>
      </bottom>
      <diagonal/>
    </border>
    <border>
      <left/>
      <right/>
      <top/>
      <bottom style="hair">
        <color rgb="FFB7B7B7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16" borderId="0" applyNumberFormat="0" applyBorder="0" applyAlignment="0" applyProtection="0"/>
  </cellStyleXfs>
  <cellXfs count="130">
    <xf numFmtId="0" fontId="0" fillId="0" borderId="0" xfId="0" applyFont="1" applyAlignment="1"/>
    <xf numFmtId="0" fontId="3" fillId="2" borderId="0" xfId="0" applyFont="1" applyFill="1"/>
    <xf numFmtId="0" fontId="3" fillId="0" borderId="0" xfId="0" applyFont="1"/>
    <xf numFmtId="0" fontId="3" fillId="2" borderId="1" xfId="0" applyFont="1" applyFill="1" applyBorder="1"/>
    <xf numFmtId="0" fontId="5" fillId="0" borderId="3" xfId="0" applyFont="1" applyBorder="1"/>
    <xf numFmtId="0" fontId="3" fillId="2" borderId="3" xfId="0" applyFont="1" applyFill="1" applyBorder="1"/>
    <xf numFmtId="0" fontId="6" fillId="2" borderId="3" xfId="0" applyFont="1" applyFill="1" applyBorder="1"/>
    <xf numFmtId="0" fontId="7" fillId="2" borderId="3" xfId="0" applyFont="1" applyFill="1" applyBorder="1" applyAlignment="1">
      <alignment wrapText="1"/>
    </xf>
    <xf numFmtId="0" fontId="3" fillId="0" borderId="3" xfId="0" applyFont="1" applyBorder="1"/>
    <xf numFmtId="14" fontId="3" fillId="0" borderId="1" xfId="0" applyNumberFormat="1" applyFont="1" applyBorder="1"/>
    <xf numFmtId="0" fontId="9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0" fillId="6" borderId="6" xfId="0" applyFont="1" applyFill="1" applyBorder="1" applyAlignment="1"/>
    <xf numFmtId="0" fontId="11" fillId="6" borderId="6" xfId="0" applyFont="1" applyFill="1" applyBorder="1"/>
    <xf numFmtId="0" fontId="11" fillId="6" borderId="0" xfId="0" applyFont="1" applyFill="1"/>
    <xf numFmtId="164" fontId="11" fillId="6" borderId="0" xfId="0" applyNumberFormat="1" applyFont="1" applyFill="1"/>
    <xf numFmtId="3" fontId="11" fillId="6" borderId="0" xfId="0" applyNumberFormat="1" applyFont="1" applyFill="1"/>
    <xf numFmtId="0" fontId="12" fillId="0" borderId="5" xfId="0" applyFont="1" applyBorder="1" applyAlignment="1">
      <alignment wrapText="1"/>
    </xf>
    <xf numFmtId="165" fontId="12" fillId="0" borderId="5" xfId="0" applyNumberFormat="1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9" fontId="12" fillId="7" borderId="7" xfId="0" applyNumberFormat="1" applyFont="1" applyFill="1" applyBorder="1" applyAlignment="1">
      <alignment horizontal="center" wrapText="1"/>
    </xf>
    <xf numFmtId="9" fontId="3" fillId="0" borderId="8" xfId="0" applyNumberFormat="1" applyFont="1" applyBorder="1" applyAlignment="1"/>
    <xf numFmtId="164" fontId="3" fillId="0" borderId="9" xfId="0" applyNumberFormat="1" applyFont="1" applyBorder="1" applyAlignment="1"/>
    <xf numFmtId="0" fontId="3" fillId="0" borderId="9" xfId="0" applyFont="1" applyBorder="1" applyAlignment="1"/>
    <xf numFmtId="0" fontId="3" fillId="4" borderId="9" xfId="0" applyFont="1" applyFill="1" applyBorder="1" applyAlignment="1"/>
    <xf numFmtId="0" fontId="3" fillId="2" borderId="9" xfId="0" applyFont="1" applyFill="1" applyBorder="1" applyAlignment="1"/>
    <xf numFmtId="0" fontId="3" fillId="4" borderId="10" xfId="0" applyFont="1" applyFill="1" applyBorder="1" applyAlignment="1"/>
    <xf numFmtId="9" fontId="12" fillId="8" borderId="7" xfId="0" applyNumberFormat="1" applyFont="1" applyFill="1" applyBorder="1" applyAlignment="1">
      <alignment horizontal="center" wrapText="1"/>
    </xf>
    <xf numFmtId="0" fontId="3" fillId="9" borderId="9" xfId="0" applyFont="1" applyFill="1" applyBorder="1" applyAlignment="1"/>
    <xf numFmtId="0" fontId="3" fillId="10" borderId="9" xfId="0" applyFont="1" applyFill="1" applyBorder="1" applyAlignment="1"/>
    <xf numFmtId="9" fontId="12" fillId="11" borderId="7" xfId="0" applyNumberFormat="1" applyFont="1" applyFill="1" applyBorder="1" applyAlignment="1">
      <alignment horizontal="center" wrapText="1"/>
    </xf>
    <xf numFmtId="9" fontId="12" fillId="12" borderId="7" xfId="0" applyNumberFormat="1" applyFont="1" applyFill="1" applyBorder="1" applyAlignment="1">
      <alignment horizontal="center" wrapText="1"/>
    </xf>
    <xf numFmtId="9" fontId="12" fillId="13" borderId="7" xfId="0" applyNumberFormat="1" applyFont="1" applyFill="1" applyBorder="1" applyAlignment="1">
      <alignment horizontal="center" wrapText="1"/>
    </xf>
    <xf numFmtId="0" fontId="11" fillId="6" borderId="6" xfId="0" applyFont="1" applyFill="1" applyBorder="1" applyAlignment="1">
      <alignment horizontal="center"/>
    </xf>
    <xf numFmtId="0" fontId="3" fillId="6" borderId="0" xfId="0" applyFont="1" applyFill="1" applyAlignment="1"/>
    <xf numFmtId="164" fontId="3" fillId="6" borderId="0" xfId="0" applyNumberFormat="1" applyFont="1" applyFill="1" applyAlignment="1"/>
    <xf numFmtId="3" fontId="3" fillId="6" borderId="0" xfId="0" applyNumberFormat="1" applyFont="1" applyFill="1" applyAlignment="1"/>
    <xf numFmtId="165" fontId="12" fillId="0" borderId="5" xfId="0" applyNumberFormat="1" applyFont="1" applyBorder="1" applyAlignment="1">
      <alignment horizontal="center" wrapText="1"/>
    </xf>
    <xf numFmtId="9" fontId="12" fillId="14" borderId="7" xfId="0" applyNumberFormat="1" applyFont="1" applyFill="1" applyBorder="1" applyAlignment="1">
      <alignment horizontal="center" wrapText="1"/>
    </xf>
    <xf numFmtId="9" fontId="12" fillId="15" borderId="7" xfId="0" applyNumberFormat="1" applyFont="1" applyFill="1" applyBorder="1" applyAlignment="1">
      <alignment horizontal="center" wrapText="1"/>
    </xf>
    <xf numFmtId="9" fontId="12" fillId="2" borderId="7" xfId="0" applyNumberFormat="1" applyFont="1" applyFill="1" applyBorder="1" applyAlignment="1">
      <alignment horizontal="center" wrapText="1"/>
    </xf>
    <xf numFmtId="0" fontId="3" fillId="6" borderId="11" xfId="0" applyFont="1" applyFill="1" applyBorder="1" applyAlignment="1"/>
    <xf numFmtId="0" fontId="4" fillId="2" borderId="3" xfId="0" applyFont="1" applyFill="1" applyBorder="1"/>
    <xf numFmtId="14" fontId="3" fillId="0" borderId="0" xfId="0" applyNumberFormat="1" applyFont="1"/>
    <xf numFmtId="0" fontId="13" fillId="2" borderId="3" xfId="0" applyFont="1" applyFill="1" applyBorder="1" applyAlignment="1">
      <alignment vertical="center"/>
    </xf>
    <xf numFmtId="0" fontId="14" fillId="2" borderId="0" xfId="0" applyFont="1" applyFill="1" applyAlignment="1">
      <alignment horizontal="left"/>
    </xf>
    <xf numFmtId="0" fontId="15" fillId="2" borderId="3" xfId="0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/>
    <xf numFmtId="0" fontId="10" fillId="6" borderId="0" xfId="0" applyFont="1" applyFill="1" applyAlignment="1"/>
    <xf numFmtId="0" fontId="5" fillId="0" borderId="1" xfId="0" applyFont="1" applyBorder="1"/>
    <xf numFmtId="0" fontId="11" fillId="0" borderId="0" xfId="0" applyFont="1"/>
    <xf numFmtId="164" fontId="11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wrapText="1"/>
    </xf>
    <xf numFmtId="0" fontId="12" fillId="9" borderId="0" xfId="0" applyFont="1" applyFill="1" applyAlignment="1">
      <alignment horizontal="center" wrapText="1"/>
    </xf>
    <xf numFmtId="9" fontId="12" fillId="7" borderId="0" xfId="0" applyNumberFormat="1" applyFont="1" applyFill="1" applyAlignment="1">
      <alignment horizontal="center" wrapText="1"/>
    </xf>
    <xf numFmtId="0" fontId="16" fillId="9" borderId="0" xfId="0" applyFont="1" applyFill="1" applyAlignment="1">
      <alignment horizontal="center"/>
    </xf>
    <xf numFmtId="9" fontId="12" fillId="8" borderId="0" xfId="0" applyNumberFormat="1" applyFont="1" applyFill="1" applyAlignment="1">
      <alignment horizontal="center" wrapText="1"/>
    </xf>
    <xf numFmtId="9" fontId="12" fillId="11" borderId="0" xfId="0" applyNumberFormat="1" applyFont="1" applyFill="1" applyAlignment="1">
      <alignment horizontal="center" wrapText="1"/>
    </xf>
    <xf numFmtId="9" fontId="12" fillId="12" borderId="0" xfId="0" applyNumberFormat="1" applyFont="1" applyFill="1" applyAlignment="1">
      <alignment horizontal="center" wrapText="1"/>
    </xf>
    <xf numFmtId="0" fontId="11" fillId="6" borderId="0" xfId="0" applyFont="1" applyFill="1" applyAlignment="1">
      <alignment horizontal="center"/>
    </xf>
    <xf numFmtId="165" fontId="12" fillId="0" borderId="0" xfId="0" applyNumberFormat="1" applyFont="1" applyAlignment="1">
      <alignment horizontal="center" wrapText="1"/>
    </xf>
    <xf numFmtId="165" fontId="12" fillId="2" borderId="0" xfId="0" applyNumberFormat="1" applyFont="1" applyFill="1" applyAlignment="1">
      <alignment horizontal="center" wrapText="1"/>
    </xf>
    <xf numFmtId="9" fontId="12" fillId="14" borderId="0" xfId="0" applyNumberFormat="1" applyFont="1" applyFill="1" applyAlignment="1">
      <alignment horizontal="center" wrapText="1"/>
    </xf>
    <xf numFmtId="9" fontId="12" fillId="15" borderId="0" xfId="0" applyNumberFormat="1" applyFont="1" applyFill="1" applyAlignment="1">
      <alignment horizontal="center" wrapText="1"/>
    </xf>
    <xf numFmtId="9" fontId="12" fillId="2" borderId="0" xfId="0" applyNumberFormat="1" applyFont="1" applyFill="1" applyAlignment="1">
      <alignment horizontal="center" wrapText="1"/>
    </xf>
    <xf numFmtId="0" fontId="5" fillId="0" borderId="2" xfId="0" applyFont="1" applyBorder="1"/>
    <xf numFmtId="0" fontId="0" fillId="0" borderId="12" xfId="0" applyFont="1" applyBorder="1" applyAlignment="1"/>
    <xf numFmtId="0" fontId="0" fillId="0" borderId="0" xfId="0" applyFont="1" applyAlignment="1"/>
    <xf numFmtId="1" fontId="12" fillId="9" borderId="0" xfId="0" applyNumberFormat="1" applyFont="1" applyFill="1" applyAlignment="1">
      <alignment horizontal="center" wrapText="1"/>
    </xf>
    <xf numFmtId="0" fontId="12" fillId="9" borderId="0" xfId="0" applyNumberFormat="1" applyFont="1" applyFill="1" applyAlignment="1">
      <alignment horizontal="center" wrapText="1"/>
    </xf>
    <xf numFmtId="0" fontId="0" fillId="0" borderId="0" xfId="0" applyFont="1" applyAlignment="1"/>
    <xf numFmtId="0" fontId="18" fillId="0" borderId="0" xfId="0" applyFont="1" applyAlignment="1">
      <alignment horizontal="center"/>
    </xf>
    <xf numFmtId="0" fontId="20" fillId="0" borderId="0" xfId="0" applyFont="1"/>
    <xf numFmtId="164" fontId="20" fillId="0" borderId="0" xfId="0" applyNumberFormat="1" applyFont="1"/>
    <xf numFmtId="3" fontId="20" fillId="0" borderId="0" xfId="0" applyNumberFormat="1" applyFont="1"/>
    <xf numFmtId="0" fontId="21" fillId="0" borderId="0" xfId="0" applyFont="1"/>
    <xf numFmtId="0" fontId="19" fillId="0" borderId="0" xfId="0" applyFont="1" applyAlignment="1"/>
    <xf numFmtId="0" fontId="0" fillId="0" borderId="0" xfId="0" applyFont="1" applyAlignment="1"/>
    <xf numFmtId="0" fontId="19" fillId="0" borderId="0" xfId="0" applyFont="1" applyAlignment="1"/>
    <xf numFmtId="0" fontId="0" fillId="0" borderId="0" xfId="0" applyFont="1" applyAlignment="1"/>
    <xf numFmtId="0" fontId="2" fillId="16" borderId="0" xfId="1" applyAlignment="1"/>
    <xf numFmtId="0" fontId="23" fillId="0" borderId="0" xfId="0" applyFont="1" applyAlignment="1"/>
    <xf numFmtId="0" fontId="24" fillId="0" borderId="0" xfId="0" applyFont="1"/>
    <xf numFmtId="0" fontId="0" fillId="0" borderId="0" xfId="0"/>
    <xf numFmtId="0" fontId="25" fillId="0" borderId="0" xfId="0" applyFont="1" applyAlignment="1"/>
    <xf numFmtId="0" fontId="27" fillId="6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left"/>
    </xf>
    <xf numFmtId="0" fontId="28" fillId="0" borderId="0" xfId="0" applyFont="1"/>
    <xf numFmtId="0" fontId="28" fillId="0" borderId="0" xfId="0" applyFont="1" applyAlignment="1"/>
    <xf numFmtId="0" fontId="28" fillId="0" borderId="0" xfId="0" applyFont="1" applyAlignment="1">
      <alignment wrapText="1"/>
    </xf>
    <xf numFmtId="0" fontId="29" fillId="0" borderId="0" xfId="0" applyFont="1" applyAlignment="1"/>
    <xf numFmtId="0" fontId="27" fillId="16" borderId="0" xfId="1" applyFont="1" applyAlignment="1">
      <alignment wrapText="1"/>
    </xf>
    <xf numFmtId="0" fontId="27" fillId="16" borderId="0" xfId="1" applyFont="1" applyAlignment="1"/>
    <xf numFmtId="14" fontId="30" fillId="6" borderId="0" xfId="0" applyNumberFormat="1" applyFont="1" applyFill="1" applyAlignment="1">
      <alignment horizontal="center"/>
    </xf>
    <xf numFmtId="0" fontId="30" fillId="6" borderId="0" xfId="0" applyFont="1" applyFill="1" applyAlignment="1">
      <alignment horizontal="center"/>
    </xf>
    <xf numFmtId="14" fontId="23" fillId="0" borderId="0" xfId="0" applyNumberFormat="1" applyFont="1" applyAlignment="1"/>
    <xf numFmtId="14" fontId="22" fillId="0" borderId="0" xfId="0" applyNumberFormat="1" applyFont="1" applyAlignment="1">
      <alignment horizontal="center" wrapText="1"/>
    </xf>
    <xf numFmtId="14" fontId="22" fillId="2" borderId="0" xfId="0" applyNumberFormat="1" applyFont="1" applyFill="1" applyAlignment="1">
      <alignment horizontal="center" wrapText="1"/>
    </xf>
    <xf numFmtId="1" fontId="22" fillId="9" borderId="0" xfId="0" applyNumberFormat="1" applyFont="1" applyFill="1" applyAlignment="1">
      <alignment horizontal="center" wrapText="1"/>
    </xf>
    <xf numFmtId="0" fontId="22" fillId="9" borderId="0" xfId="0" applyNumberFormat="1" applyFont="1" applyFill="1" applyAlignment="1">
      <alignment horizontal="center" wrapText="1"/>
    </xf>
    <xf numFmtId="0" fontId="26" fillId="16" borderId="0" xfId="1" applyFont="1" applyAlignment="1"/>
    <xf numFmtId="0" fontId="0" fillId="0" borderId="0" xfId="0" applyFont="1" applyAlignment="1"/>
    <xf numFmtId="0" fontId="26" fillId="16" borderId="0" xfId="1" applyFont="1" applyAlignment="1">
      <alignment horizontal="center"/>
    </xf>
    <xf numFmtId="0" fontId="1" fillId="16" borderId="0" xfId="1" applyFont="1" applyAlignment="1">
      <alignment horizontal="center"/>
    </xf>
    <xf numFmtId="0" fontId="2" fillId="16" borderId="0" xfId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9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7" fillId="2" borderId="3" xfId="0" applyFont="1" applyFill="1" applyBorder="1"/>
    <xf numFmtId="0" fontId="5" fillId="0" borderId="3" xfId="0" applyFont="1" applyBorder="1"/>
    <xf numFmtId="0" fontId="0" fillId="0" borderId="0" xfId="0"/>
    <xf numFmtId="0" fontId="31" fillId="3" borderId="0" xfId="0" applyFont="1" applyFill="1" applyAlignment="1">
      <alignment horizontal="center" vertical="center" wrapText="1"/>
    </xf>
    <xf numFmtId="0" fontId="32" fillId="0" borderId="0" xfId="0" applyFont="1" applyAlignment="1"/>
    <xf numFmtId="14" fontId="31" fillId="3" borderId="0" xfId="0" applyNumberFormat="1" applyFont="1" applyFill="1" applyAlignment="1">
      <alignment horizontal="center" vertical="center" wrapText="1"/>
    </xf>
    <xf numFmtId="14" fontId="32" fillId="0" borderId="0" xfId="0" applyNumberFormat="1" applyFont="1" applyAlignment="1"/>
    <xf numFmtId="0" fontId="11" fillId="6" borderId="6" xfId="0" applyFont="1" applyFill="1" applyBorder="1" applyAlignment="1">
      <alignment horizontal="center"/>
    </xf>
    <xf numFmtId="0" fontId="5" fillId="0" borderId="6" xfId="0" applyFont="1" applyBorder="1"/>
    <xf numFmtId="0" fontId="11" fillId="6" borderId="6" xfId="0" applyFont="1" applyFill="1" applyBorder="1"/>
    <xf numFmtId="0" fontId="9" fillId="4" borderId="5" xfId="0" applyFont="1" applyFill="1" applyBorder="1" applyAlignment="1">
      <alignment horizontal="center"/>
    </xf>
    <xf numFmtId="0" fontId="5" fillId="0" borderId="5" xfId="0" applyFont="1" applyBorder="1"/>
    <xf numFmtId="0" fontId="9" fillId="5" borderId="5" xfId="0" applyFont="1" applyFill="1" applyBorder="1" applyAlignment="1">
      <alignment horizontal="center"/>
    </xf>
    <xf numFmtId="0" fontId="4" fillId="2" borderId="2" xfId="0" applyFont="1" applyFill="1" applyBorder="1"/>
    <xf numFmtId="0" fontId="8" fillId="3" borderId="4" xfId="0" applyFont="1" applyFill="1" applyBorder="1" applyAlignment="1">
      <alignment horizontal="center" vertical="center" wrapText="1"/>
    </xf>
    <xf numFmtId="0" fontId="5" fillId="0" borderId="4" xfId="0" applyFont="1" applyBorder="1"/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spPr>
            <a:solidFill>
              <a:srgbClr val="FFFFFF"/>
            </a:solidFill>
          </c:spPr>
          <c:invertIfNegative val="1"/>
          <c:cat>
            <c:strRef>
              <c:f>'Gantt Chart w % Complete'!$B$9:$B$29</c:f>
              <c:strCache>
                <c:ptCount val="21"/>
                <c:pt idx="0">
                  <c:v>Write Landing Page Copy</c:v>
                </c:pt>
                <c:pt idx="1">
                  <c:v>Approve Page Copy</c:v>
                </c:pt>
                <c:pt idx="2">
                  <c:v>Review Landing Page Design</c:v>
                </c:pt>
                <c:pt idx="3">
                  <c:v>Build Landing Page</c:v>
                </c:pt>
                <c:pt idx="4">
                  <c:v>Code Review Landing Page</c:v>
                </c:pt>
                <c:pt idx="6">
                  <c:v>Write Promotional Email</c:v>
                </c:pt>
                <c:pt idx="7">
                  <c:v>Design Promotional Email</c:v>
                </c:pt>
                <c:pt idx="8">
                  <c:v>Send Promotional Email</c:v>
                </c:pt>
                <c:pt idx="9">
                  <c:v>Analyze Campaign Results</c:v>
                </c:pt>
                <c:pt idx="11">
                  <c:v>Plan Agenda for Meeting</c:v>
                </c:pt>
                <c:pt idx="12">
                  <c:v>Reserve Room</c:v>
                </c:pt>
                <c:pt idx="13">
                  <c:v>Finalize Presentation</c:v>
                </c:pt>
                <c:pt idx="14">
                  <c:v>Approve Presentation</c:v>
                </c:pt>
                <c:pt idx="15">
                  <c:v>Create Invitations</c:v>
                </c:pt>
                <c:pt idx="17">
                  <c:v>Rewrite Online Calculator</c:v>
                </c:pt>
                <c:pt idx="18">
                  <c:v>Code Review Calculator</c:v>
                </c:pt>
                <c:pt idx="19">
                  <c:v>Update Messaging</c:v>
                </c:pt>
                <c:pt idx="20">
                  <c:v>Publish Calculator</c:v>
                </c:pt>
              </c:strCache>
            </c:strRef>
          </c:cat>
          <c:val>
            <c:numRef>
              <c:f>'Gantt Chart w % Complete'!$D$9:$D$29</c:f>
              <c:numCache>
                <c:formatCode>General</c:formatCode>
                <c:ptCount val="21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6">
                  <c:v>9</c:v>
                </c:pt>
                <c:pt idx="7">
                  <c:v>12</c:v>
                </c:pt>
                <c:pt idx="8">
                  <c:v>17</c:v>
                </c:pt>
                <c:pt idx="9">
                  <c:v>22</c:v>
                </c:pt>
                <c:pt idx="11">
                  <c:v>15</c:v>
                </c:pt>
                <c:pt idx="12">
                  <c:v>22</c:v>
                </c:pt>
                <c:pt idx="13">
                  <c:v>22</c:v>
                </c:pt>
                <c:pt idx="14">
                  <c:v>26</c:v>
                </c:pt>
                <c:pt idx="15">
                  <c:v>22</c:v>
                </c:pt>
                <c:pt idx="17">
                  <c:v>15</c:v>
                </c:pt>
                <c:pt idx="18">
                  <c:v>25</c:v>
                </c:pt>
                <c:pt idx="19">
                  <c:v>24</c:v>
                </c:pt>
                <c:pt idx="20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62F-4ABA-8B9C-9284D792F115}"/>
            </c:ext>
          </c:extLst>
        </c:ser>
        <c:ser>
          <c:idx val="1"/>
          <c:order val="1"/>
          <c:spPr>
            <a:solidFill>
              <a:srgbClr val="5CBCD6"/>
            </a:solidFill>
          </c:spPr>
          <c:invertIfNegative val="1"/>
          <c:cat>
            <c:strRef>
              <c:f>'Gantt Chart w % Complete'!$B$9:$B$29</c:f>
              <c:strCache>
                <c:ptCount val="21"/>
                <c:pt idx="0">
                  <c:v>Write Landing Page Copy</c:v>
                </c:pt>
                <c:pt idx="1">
                  <c:v>Approve Page Copy</c:v>
                </c:pt>
                <c:pt idx="2">
                  <c:v>Review Landing Page Design</c:v>
                </c:pt>
                <c:pt idx="3">
                  <c:v>Build Landing Page</c:v>
                </c:pt>
                <c:pt idx="4">
                  <c:v>Code Review Landing Page</c:v>
                </c:pt>
                <c:pt idx="6">
                  <c:v>Write Promotional Email</c:v>
                </c:pt>
                <c:pt idx="7">
                  <c:v>Design Promotional Email</c:v>
                </c:pt>
                <c:pt idx="8">
                  <c:v>Send Promotional Email</c:v>
                </c:pt>
                <c:pt idx="9">
                  <c:v>Analyze Campaign Results</c:v>
                </c:pt>
                <c:pt idx="11">
                  <c:v>Plan Agenda for Meeting</c:v>
                </c:pt>
                <c:pt idx="12">
                  <c:v>Reserve Room</c:v>
                </c:pt>
                <c:pt idx="13">
                  <c:v>Finalize Presentation</c:v>
                </c:pt>
                <c:pt idx="14">
                  <c:v>Approve Presentation</c:v>
                </c:pt>
                <c:pt idx="15">
                  <c:v>Create Invitations</c:v>
                </c:pt>
                <c:pt idx="17">
                  <c:v>Rewrite Online Calculator</c:v>
                </c:pt>
                <c:pt idx="18">
                  <c:v>Code Review Calculator</c:v>
                </c:pt>
                <c:pt idx="19">
                  <c:v>Update Messaging</c:v>
                </c:pt>
                <c:pt idx="20">
                  <c:v>Publish Calculator</c:v>
                </c:pt>
              </c:strCache>
            </c:strRef>
          </c:cat>
          <c:val>
            <c:numRef>
              <c:f>'Gantt Chart w % Complete'!$G$9:$G$29</c:f>
              <c:numCache>
                <c:formatCode>General</c:formatCode>
                <c:ptCount val="21"/>
                <c:pt idx="0">
                  <c:v>4</c:v>
                </c:pt>
                <c:pt idx="1">
                  <c:v>3.2</c:v>
                </c:pt>
                <c:pt idx="2">
                  <c:v>3.5999999999999996</c:v>
                </c:pt>
                <c:pt idx="3">
                  <c:v>2.4000000000000004</c:v>
                </c:pt>
                <c:pt idx="4">
                  <c:v>1.4000000000000001</c:v>
                </c:pt>
                <c:pt idx="6">
                  <c:v>4</c:v>
                </c:pt>
                <c:pt idx="7">
                  <c:v>6.4</c:v>
                </c:pt>
                <c:pt idx="8">
                  <c:v>1.7999999999999998</c:v>
                </c:pt>
                <c:pt idx="9">
                  <c:v>2</c:v>
                </c:pt>
                <c:pt idx="11">
                  <c:v>5</c:v>
                </c:pt>
                <c:pt idx="12">
                  <c:v>1.6</c:v>
                </c:pt>
                <c:pt idx="13">
                  <c:v>3</c:v>
                </c:pt>
                <c:pt idx="14">
                  <c:v>1.6</c:v>
                </c:pt>
                <c:pt idx="15">
                  <c:v>0.8</c:v>
                </c:pt>
                <c:pt idx="17">
                  <c:v>10</c:v>
                </c:pt>
                <c:pt idx="18">
                  <c:v>4.8000000000000007</c:v>
                </c:pt>
                <c:pt idx="19">
                  <c:v>4.2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62F-4ABA-8B9C-9284D792F115}"/>
            </c:ext>
          </c:extLst>
        </c:ser>
        <c:ser>
          <c:idx val="2"/>
          <c:order val="2"/>
          <c:spPr>
            <a:solidFill>
              <a:srgbClr val="6AD9F8"/>
            </a:solidFill>
          </c:spPr>
          <c:invertIfNegative val="1"/>
          <c:cat>
            <c:strRef>
              <c:f>'Gantt Chart w % Complete'!$B$9:$B$29</c:f>
              <c:strCache>
                <c:ptCount val="21"/>
                <c:pt idx="0">
                  <c:v>Write Landing Page Copy</c:v>
                </c:pt>
                <c:pt idx="1">
                  <c:v>Approve Page Copy</c:v>
                </c:pt>
                <c:pt idx="2">
                  <c:v>Review Landing Page Design</c:v>
                </c:pt>
                <c:pt idx="3">
                  <c:v>Build Landing Page</c:v>
                </c:pt>
                <c:pt idx="4">
                  <c:v>Code Review Landing Page</c:v>
                </c:pt>
                <c:pt idx="6">
                  <c:v>Write Promotional Email</c:v>
                </c:pt>
                <c:pt idx="7">
                  <c:v>Design Promotional Email</c:v>
                </c:pt>
                <c:pt idx="8">
                  <c:v>Send Promotional Email</c:v>
                </c:pt>
                <c:pt idx="9">
                  <c:v>Analyze Campaign Results</c:v>
                </c:pt>
                <c:pt idx="11">
                  <c:v>Plan Agenda for Meeting</c:v>
                </c:pt>
                <c:pt idx="12">
                  <c:v>Reserve Room</c:v>
                </c:pt>
                <c:pt idx="13">
                  <c:v>Finalize Presentation</c:v>
                </c:pt>
                <c:pt idx="14">
                  <c:v>Approve Presentation</c:v>
                </c:pt>
                <c:pt idx="15">
                  <c:v>Create Invitations</c:v>
                </c:pt>
                <c:pt idx="17">
                  <c:v>Rewrite Online Calculator</c:v>
                </c:pt>
                <c:pt idx="18">
                  <c:v>Code Review Calculator</c:v>
                </c:pt>
                <c:pt idx="19">
                  <c:v>Update Messaging</c:v>
                </c:pt>
                <c:pt idx="20">
                  <c:v>Publish Calculator</c:v>
                </c:pt>
              </c:strCache>
            </c:strRef>
          </c:cat>
          <c:val>
            <c:numRef>
              <c:f>'Gantt Chart w % Complete'!$H$9:$H$29</c:f>
              <c:numCache>
                <c:formatCode>General</c:formatCode>
                <c:ptCount val="21"/>
                <c:pt idx="0">
                  <c:v>0</c:v>
                </c:pt>
                <c:pt idx="1">
                  <c:v>0.79999999999999982</c:v>
                </c:pt>
                <c:pt idx="2">
                  <c:v>2.4000000000000004</c:v>
                </c:pt>
                <c:pt idx="3">
                  <c:v>3.5999999999999996</c:v>
                </c:pt>
                <c:pt idx="4">
                  <c:v>5.6</c:v>
                </c:pt>
                <c:pt idx="6">
                  <c:v>0</c:v>
                </c:pt>
                <c:pt idx="7">
                  <c:v>1.5999999999999996</c:v>
                </c:pt>
                <c:pt idx="8">
                  <c:v>1.2000000000000002</c:v>
                </c:pt>
                <c:pt idx="9">
                  <c:v>3</c:v>
                </c:pt>
                <c:pt idx="11">
                  <c:v>0</c:v>
                </c:pt>
                <c:pt idx="12">
                  <c:v>0.39999999999999991</c:v>
                </c:pt>
                <c:pt idx="13">
                  <c:v>2</c:v>
                </c:pt>
                <c:pt idx="14">
                  <c:v>2.4</c:v>
                </c:pt>
                <c:pt idx="15">
                  <c:v>3.2</c:v>
                </c:pt>
                <c:pt idx="17">
                  <c:v>0</c:v>
                </c:pt>
                <c:pt idx="18">
                  <c:v>1.1999999999999993</c:v>
                </c:pt>
                <c:pt idx="19">
                  <c:v>2.8</c:v>
                </c:pt>
                <c:pt idx="2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262F-4ABA-8B9C-9284D792F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0828964"/>
        <c:axId val="1807068638"/>
      </c:barChart>
      <c:catAx>
        <c:axId val="1770828964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1807068638"/>
        <c:crosses val="autoZero"/>
        <c:auto val="1"/>
        <c:lblAlgn val="ctr"/>
        <c:lblOffset val="100"/>
        <c:noMultiLvlLbl val="1"/>
      </c:catAx>
      <c:valAx>
        <c:axId val="1807068638"/>
        <c:scaling>
          <c:orientation val="minMax"/>
        </c:scaling>
        <c:delete val="0"/>
        <c:axPos val="b"/>
        <c:majorGridlines>
          <c:spPr>
            <a:ln>
              <a:solidFill>
                <a:srgbClr val="CCCCCC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Days of the Month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1770828964"/>
        <c:crosses val="max"/>
        <c:crossBetween val="between"/>
      </c:valAx>
    </c:plotArea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teamgantt.com/signup?utm_source=excel-template&amp;utm_medium=download&amp;utm_campaign=excel-gantt-chart-template" TargetMode="Externa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</xdr:row>
      <xdr:rowOff>0</xdr:rowOff>
    </xdr:from>
    <xdr:ext cx="8391525" cy="51911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22</xdr:col>
      <xdr:colOff>223962</xdr:colOff>
      <xdr:row>1</xdr:row>
      <xdr:rowOff>107950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FC8EFD-7B6C-4413-BAAC-D7E8FADEB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89162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50"/>
  <sheetViews>
    <sheetView showGridLines="0" topLeftCell="A2" zoomScale="162" zoomScaleNormal="162" workbookViewId="0">
      <selection activeCell="J10" sqref="J10"/>
    </sheetView>
  </sheetViews>
  <sheetFormatPr defaultColWidth="14.44140625" defaultRowHeight="15.75" customHeight="1"/>
  <cols>
    <col min="1" max="1" width="2.77734375" customWidth="1"/>
    <col min="2" max="2" width="35.77734375" customWidth="1"/>
    <col min="3" max="9" width="12.33203125" customWidth="1"/>
    <col min="10" max="10" width="10.77734375" customWidth="1"/>
    <col min="11" max="12" width="7.33203125" customWidth="1"/>
    <col min="13" max="14" width="3.6640625" customWidth="1"/>
    <col min="15" max="15" width="6.44140625" customWidth="1"/>
    <col min="16" max="34" width="4.44140625" customWidth="1"/>
    <col min="35" max="36" width="7.33203125" customWidth="1"/>
  </cols>
  <sheetData>
    <row r="1" spans="1:36" ht="78.4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2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3.2">
      <c r="A2" s="1"/>
      <c r="B2" s="1"/>
      <c r="C2" s="1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2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33.6">
      <c r="A3" s="44"/>
      <c r="B3" s="46" t="str">
        <f>HYPERLINK("https://www.teamgantt.com/signup?utm_source=google-sheets-gantt-template&amp;utm_medium=download&amp;utm_campaign=google-sheets-gantt-template","Build better gantt charts with TeamGantt for FREE!")</f>
        <v>Build better gantt charts with TeamGantt for FREE!</v>
      </c>
      <c r="C3" s="46"/>
      <c r="D3" s="46"/>
      <c r="E3" s="46"/>
      <c r="F3" s="46"/>
      <c r="G3" s="71"/>
      <c r="H3" s="71"/>
      <c r="I3" s="71"/>
      <c r="J3" s="48"/>
      <c r="K3" s="48"/>
      <c r="L3" s="48"/>
      <c r="M3" s="6"/>
      <c r="N3" s="6"/>
      <c r="O3" s="6"/>
      <c r="P3" s="6"/>
      <c r="Q3" s="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5"/>
      <c r="AJ3" s="5"/>
    </row>
    <row r="4" spans="1:36" ht="15.75" customHeight="1">
      <c r="A4" s="4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5.75" customHeight="1">
      <c r="A5" s="47" t="s">
        <v>49</v>
      </c>
      <c r="B5" s="1"/>
      <c r="C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4.4">
      <c r="A6" s="110"/>
      <c r="B6" s="110" t="s">
        <v>1</v>
      </c>
      <c r="C6" s="110" t="s">
        <v>2</v>
      </c>
      <c r="D6" s="110" t="s">
        <v>53</v>
      </c>
      <c r="E6" s="110" t="s">
        <v>3</v>
      </c>
      <c r="F6" s="110" t="s">
        <v>51</v>
      </c>
      <c r="G6" s="110" t="s">
        <v>54</v>
      </c>
      <c r="H6" s="110" t="s">
        <v>55</v>
      </c>
      <c r="I6" s="110" t="s">
        <v>5</v>
      </c>
      <c r="J6" s="110" t="s">
        <v>6</v>
      </c>
      <c r="K6" s="113"/>
      <c r="L6" s="111"/>
      <c r="M6" s="111"/>
      <c r="N6" s="111"/>
      <c r="O6" s="111"/>
      <c r="P6" s="113" t="s">
        <v>7</v>
      </c>
      <c r="Q6" s="111"/>
      <c r="R6" s="111"/>
      <c r="S6" s="111"/>
      <c r="T6" s="111"/>
      <c r="U6" s="112" t="s">
        <v>8</v>
      </c>
      <c r="V6" s="111"/>
      <c r="W6" s="111"/>
      <c r="X6" s="111"/>
      <c r="Y6" s="111"/>
      <c r="Z6" s="113" t="s">
        <v>9</v>
      </c>
      <c r="AA6" s="111"/>
      <c r="AB6" s="111"/>
      <c r="AC6" s="111"/>
      <c r="AD6" s="111"/>
      <c r="AE6" s="112" t="s">
        <v>10</v>
      </c>
      <c r="AF6" s="111"/>
      <c r="AG6" s="111"/>
      <c r="AH6" s="111"/>
      <c r="AI6" s="111"/>
      <c r="AJ6" s="49"/>
    </row>
    <row r="7" spans="1:36" ht="14.4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49"/>
      <c r="L7" s="49"/>
      <c r="M7" s="49"/>
      <c r="N7" s="50"/>
      <c r="O7" s="49"/>
      <c r="P7" s="49"/>
      <c r="Q7" s="49"/>
      <c r="R7" s="49"/>
      <c r="S7" s="50"/>
      <c r="T7" s="49"/>
      <c r="U7" s="49"/>
      <c r="V7" s="49"/>
      <c r="W7" s="49"/>
      <c r="X7" s="50"/>
      <c r="Y7" s="49"/>
      <c r="Z7" s="49"/>
      <c r="AA7" s="49"/>
      <c r="AB7" s="49"/>
      <c r="AC7" s="50"/>
      <c r="AD7" s="49"/>
      <c r="AE7" s="49"/>
      <c r="AF7" s="49"/>
      <c r="AG7" s="49"/>
      <c r="AH7" s="50"/>
      <c r="AI7" s="49"/>
      <c r="AJ7" s="49"/>
    </row>
    <row r="8" spans="1:36" ht="15.6">
      <c r="A8" s="52" t="s">
        <v>24</v>
      </c>
      <c r="B8" s="16"/>
      <c r="C8" s="16"/>
      <c r="D8" s="16"/>
      <c r="E8" s="16"/>
      <c r="F8" s="16"/>
      <c r="G8" s="16"/>
      <c r="H8" s="16"/>
      <c r="I8" s="16"/>
      <c r="J8" s="16"/>
      <c r="K8" s="54"/>
      <c r="L8" s="55"/>
      <c r="M8" s="56"/>
      <c r="N8" s="56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</row>
    <row r="9" spans="1:36" ht="14.4">
      <c r="B9" s="57" t="s">
        <v>25</v>
      </c>
      <c r="C9" s="65">
        <v>43105</v>
      </c>
      <c r="D9" s="58">
        <f t="shared" ref="D9:D13" si="0">DAY(C9)</f>
        <v>5</v>
      </c>
      <c r="E9" s="66">
        <v>43108</v>
      </c>
      <c r="F9" s="73">
        <f>DATEDIF(C9,E9,"d")+1</f>
        <v>4</v>
      </c>
      <c r="G9" s="60">
        <f>SUM(F9*J9)</f>
        <v>4</v>
      </c>
      <c r="H9" s="74">
        <f>SUM(F9-G9)</f>
        <v>0</v>
      </c>
      <c r="I9" s="57" t="s">
        <v>26</v>
      </c>
      <c r="J9" s="59">
        <v>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4.4">
      <c r="B10" s="57" t="s">
        <v>58</v>
      </c>
      <c r="C10" s="65">
        <v>43108</v>
      </c>
      <c r="D10" s="58">
        <f t="shared" si="0"/>
        <v>8</v>
      </c>
      <c r="E10" s="66">
        <v>43111</v>
      </c>
      <c r="F10" s="73">
        <f t="shared" ref="F10:F29" si="1">DATEDIF(C10,E10,"d")+1</f>
        <v>4</v>
      </c>
      <c r="G10" s="60">
        <f t="shared" ref="G10:G29" si="2">SUM(F10*J10)</f>
        <v>3.2</v>
      </c>
      <c r="H10" s="74">
        <f t="shared" ref="H10:H29" si="3">SUM(F10-G10)</f>
        <v>0.79999999999999982</v>
      </c>
      <c r="I10" s="57" t="s">
        <v>27</v>
      </c>
      <c r="J10" s="61">
        <v>0.8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14.4">
      <c r="B11" s="57" t="s">
        <v>28</v>
      </c>
      <c r="C11" s="65">
        <v>43111</v>
      </c>
      <c r="D11" s="58">
        <f t="shared" si="0"/>
        <v>11</v>
      </c>
      <c r="E11" s="66">
        <v>43116</v>
      </c>
      <c r="F11" s="73">
        <f t="shared" si="1"/>
        <v>6</v>
      </c>
      <c r="G11" s="60">
        <f t="shared" si="2"/>
        <v>3.5999999999999996</v>
      </c>
      <c r="H11" s="74">
        <f t="shared" si="3"/>
        <v>2.4000000000000004</v>
      </c>
      <c r="I11" s="57" t="s">
        <v>29</v>
      </c>
      <c r="J11" s="59">
        <v>0.6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14.4">
      <c r="B12" s="57" t="s">
        <v>30</v>
      </c>
      <c r="C12" s="65">
        <v>43114</v>
      </c>
      <c r="D12" s="58">
        <f t="shared" si="0"/>
        <v>14</v>
      </c>
      <c r="E12" s="66">
        <v>43119</v>
      </c>
      <c r="F12" s="73">
        <f t="shared" si="1"/>
        <v>6</v>
      </c>
      <c r="G12" s="60">
        <f t="shared" si="2"/>
        <v>2.4000000000000004</v>
      </c>
      <c r="H12" s="74">
        <f t="shared" si="3"/>
        <v>3.5999999999999996</v>
      </c>
      <c r="I12" s="57" t="s">
        <v>31</v>
      </c>
      <c r="J12" s="62">
        <v>0.4</v>
      </c>
    </row>
    <row r="13" spans="1:36" ht="14.4">
      <c r="B13" s="57" t="s">
        <v>32</v>
      </c>
      <c r="C13" s="65">
        <v>43117</v>
      </c>
      <c r="D13" s="58">
        <f t="shared" si="0"/>
        <v>17</v>
      </c>
      <c r="E13" s="66">
        <v>43123</v>
      </c>
      <c r="F13" s="73">
        <f t="shared" si="1"/>
        <v>7</v>
      </c>
      <c r="G13" s="60">
        <f t="shared" si="2"/>
        <v>1.4000000000000001</v>
      </c>
      <c r="H13" s="74">
        <f t="shared" si="3"/>
        <v>5.6</v>
      </c>
      <c r="I13" s="57" t="s">
        <v>33</v>
      </c>
      <c r="J13" s="63">
        <v>0.2</v>
      </c>
    </row>
    <row r="14" spans="1:36" ht="15.6">
      <c r="A14" s="52" t="s">
        <v>36</v>
      </c>
      <c r="B14" s="64"/>
      <c r="C14" s="64"/>
      <c r="D14" s="64"/>
      <c r="E14" s="64"/>
      <c r="F14" s="64"/>
      <c r="G14" s="64"/>
      <c r="H14" s="64"/>
      <c r="I14" s="64"/>
      <c r="J14" s="64"/>
    </row>
    <row r="15" spans="1:36" ht="14.4">
      <c r="B15" s="57" t="s">
        <v>37</v>
      </c>
      <c r="C15" s="65">
        <v>43109</v>
      </c>
      <c r="D15" s="58">
        <f t="shared" ref="D15:D18" si="4">DAY(C15)</f>
        <v>9</v>
      </c>
      <c r="E15" s="66">
        <v>43112</v>
      </c>
      <c r="F15" s="73">
        <f t="shared" si="1"/>
        <v>4</v>
      </c>
      <c r="G15" s="60">
        <f t="shared" si="2"/>
        <v>4</v>
      </c>
      <c r="H15" s="74">
        <f t="shared" si="3"/>
        <v>0</v>
      </c>
      <c r="I15" s="57" t="s">
        <v>26</v>
      </c>
      <c r="J15" s="67">
        <v>1</v>
      </c>
    </row>
    <row r="16" spans="1:36" ht="14.4">
      <c r="B16" s="57" t="s">
        <v>38</v>
      </c>
      <c r="C16" s="65">
        <v>43112</v>
      </c>
      <c r="D16" s="58">
        <f t="shared" si="4"/>
        <v>12</v>
      </c>
      <c r="E16" s="66">
        <v>43119</v>
      </c>
      <c r="F16" s="73">
        <f t="shared" si="1"/>
        <v>8</v>
      </c>
      <c r="G16" s="60">
        <f t="shared" si="2"/>
        <v>6.4</v>
      </c>
      <c r="H16" s="74">
        <f t="shared" si="3"/>
        <v>1.5999999999999996</v>
      </c>
      <c r="I16" s="57" t="s">
        <v>27</v>
      </c>
      <c r="J16" s="68">
        <v>0.8</v>
      </c>
    </row>
    <row r="17" spans="1:10" ht="14.4">
      <c r="B17" s="57" t="s">
        <v>59</v>
      </c>
      <c r="C17" s="65">
        <v>43117</v>
      </c>
      <c r="D17" s="58">
        <f t="shared" si="4"/>
        <v>17</v>
      </c>
      <c r="E17" s="66">
        <v>43119</v>
      </c>
      <c r="F17" s="73">
        <f t="shared" si="1"/>
        <v>3</v>
      </c>
      <c r="G17" s="60">
        <f t="shared" si="2"/>
        <v>1.7999999999999998</v>
      </c>
      <c r="H17" s="74">
        <f t="shared" si="3"/>
        <v>1.2000000000000002</v>
      </c>
      <c r="I17" s="57" t="s">
        <v>29</v>
      </c>
      <c r="J17" s="69">
        <v>0.6</v>
      </c>
    </row>
    <row r="18" spans="1:10" ht="14.4">
      <c r="B18" s="57" t="s">
        <v>60</v>
      </c>
      <c r="C18" s="65">
        <v>43122</v>
      </c>
      <c r="D18" s="58">
        <f t="shared" si="4"/>
        <v>22</v>
      </c>
      <c r="E18" s="66">
        <v>43126</v>
      </c>
      <c r="F18" s="73">
        <f t="shared" si="1"/>
        <v>5</v>
      </c>
      <c r="G18" s="60">
        <f t="shared" si="2"/>
        <v>2</v>
      </c>
      <c r="H18" s="74">
        <f t="shared" si="3"/>
        <v>3</v>
      </c>
      <c r="I18" s="57" t="s">
        <v>31</v>
      </c>
      <c r="J18" s="69">
        <v>0.4</v>
      </c>
    </row>
    <row r="19" spans="1:10" ht="15.6">
      <c r="A19" s="52" t="s">
        <v>41</v>
      </c>
      <c r="B19" s="64"/>
      <c r="C19" s="64"/>
      <c r="D19" s="64"/>
      <c r="E19" s="64"/>
      <c r="F19" s="64"/>
      <c r="G19" s="64"/>
      <c r="H19" s="64"/>
      <c r="I19" s="64"/>
      <c r="J19" s="64"/>
    </row>
    <row r="20" spans="1:10" ht="14.4">
      <c r="B20" s="57" t="s">
        <v>61</v>
      </c>
      <c r="C20" s="65">
        <v>43115</v>
      </c>
      <c r="D20" s="58">
        <f t="shared" ref="D20:D24" si="5">DAY(C20)</f>
        <v>15</v>
      </c>
      <c r="E20" s="66">
        <v>43119</v>
      </c>
      <c r="F20" s="73">
        <f t="shared" si="1"/>
        <v>5</v>
      </c>
      <c r="G20" s="60">
        <f t="shared" si="2"/>
        <v>5</v>
      </c>
      <c r="H20" s="74">
        <f t="shared" si="3"/>
        <v>0</v>
      </c>
      <c r="I20" s="57" t="s">
        <v>26</v>
      </c>
      <c r="J20" s="69">
        <v>1</v>
      </c>
    </row>
    <row r="21" spans="1:10" ht="14.4">
      <c r="B21" s="57" t="s">
        <v>62</v>
      </c>
      <c r="C21" s="65">
        <v>43122</v>
      </c>
      <c r="D21" s="58">
        <f t="shared" si="5"/>
        <v>22</v>
      </c>
      <c r="E21" s="66">
        <v>43123</v>
      </c>
      <c r="F21" s="73">
        <f t="shared" si="1"/>
        <v>2</v>
      </c>
      <c r="G21" s="60">
        <f t="shared" si="2"/>
        <v>1.6</v>
      </c>
      <c r="H21" s="74">
        <f t="shared" si="3"/>
        <v>0.39999999999999991</v>
      </c>
      <c r="I21" s="57" t="s">
        <v>27</v>
      </c>
      <c r="J21" s="69">
        <v>0.8</v>
      </c>
    </row>
    <row r="22" spans="1:10" ht="14.4">
      <c r="B22" s="57" t="s">
        <v>63</v>
      </c>
      <c r="C22" s="65">
        <v>43122</v>
      </c>
      <c r="D22" s="58">
        <f t="shared" si="5"/>
        <v>22</v>
      </c>
      <c r="E22" s="66">
        <v>43126</v>
      </c>
      <c r="F22" s="73">
        <f t="shared" si="1"/>
        <v>5</v>
      </c>
      <c r="G22" s="60">
        <f t="shared" si="2"/>
        <v>3</v>
      </c>
      <c r="H22" s="74">
        <f t="shared" si="3"/>
        <v>2</v>
      </c>
      <c r="I22" s="57" t="s">
        <v>29</v>
      </c>
      <c r="J22" s="69">
        <v>0.6</v>
      </c>
    </row>
    <row r="23" spans="1:10" ht="14.4">
      <c r="B23" s="57" t="s">
        <v>64</v>
      </c>
      <c r="C23" s="65">
        <v>43126</v>
      </c>
      <c r="D23" s="58">
        <f t="shared" si="5"/>
        <v>26</v>
      </c>
      <c r="E23" s="66">
        <v>43129</v>
      </c>
      <c r="F23" s="73">
        <f t="shared" si="1"/>
        <v>4</v>
      </c>
      <c r="G23" s="60">
        <f t="shared" si="2"/>
        <v>1.6</v>
      </c>
      <c r="H23" s="74">
        <f t="shared" si="3"/>
        <v>2.4</v>
      </c>
      <c r="I23" s="57" t="s">
        <v>31</v>
      </c>
      <c r="J23" s="69">
        <v>0.4</v>
      </c>
    </row>
    <row r="24" spans="1:10" ht="14.4">
      <c r="B24" s="57" t="s">
        <v>65</v>
      </c>
      <c r="C24" s="65">
        <v>43122</v>
      </c>
      <c r="D24" s="58">
        <f t="shared" si="5"/>
        <v>22</v>
      </c>
      <c r="E24" s="66">
        <v>43125</v>
      </c>
      <c r="F24" s="73">
        <f t="shared" si="1"/>
        <v>4</v>
      </c>
      <c r="G24" s="60">
        <f t="shared" si="2"/>
        <v>0.8</v>
      </c>
      <c r="H24" s="74">
        <f t="shared" si="3"/>
        <v>3.2</v>
      </c>
      <c r="I24" s="57" t="s">
        <v>33</v>
      </c>
      <c r="J24" s="69">
        <v>0.2</v>
      </c>
    </row>
    <row r="25" spans="1:10" ht="15.6">
      <c r="A25" s="52" t="s">
        <v>48</v>
      </c>
      <c r="B25" s="64"/>
      <c r="C25" s="64"/>
      <c r="D25" s="64"/>
      <c r="E25" s="64"/>
      <c r="F25" s="64"/>
      <c r="G25" s="64"/>
      <c r="H25" s="64"/>
      <c r="I25" s="64"/>
      <c r="J25" s="64"/>
    </row>
    <row r="26" spans="1:10" ht="14.4">
      <c r="B26" s="57" t="s">
        <v>66</v>
      </c>
      <c r="C26" s="65">
        <v>43115</v>
      </c>
      <c r="D26" s="58">
        <f t="shared" ref="D26:D29" si="6">DAY(C26)</f>
        <v>15</v>
      </c>
      <c r="E26" s="66">
        <v>43124</v>
      </c>
      <c r="F26" s="73">
        <f t="shared" si="1"/>
        <v>10</v>
      </c>
      <c r="G26" s="60">
        <f t="shared" si="2"/>
        <v>10</v>
      </c>
      <c r="H26" s="74">
        <f t="shared" si="3"/>
        <v>0</v>
      </c>
      <c r="I26" s="57" t="s">
        <v>26</v>
      </c>
      <c r="J26" s="69">
        <v>1</v>
      </c>
    </row>
    <row r="27" spans="1:10" ht="14.4">
      <c r="B27" s="57" t="s">
        <v>67</v>
      </c>
      <c r="C27" s="65">
        <v>43125</v>
      </c>
      <c r="D27" s="58">
        <f t="shared" si="6"/>
        <v>25</v>
      </c>
      <c r="E27" s="66">
        <v>43130</v>
      </c>
      <c r="F27" s="73">
        <f t="shared" si="1"/>
        <v>6</v>
      </c>
      <c r="G27" s="60">
        <f t="shared" si="2"/>
        <v>4.8000000000000007</v>
      </c>
      <c r="H27" s="74">
        <f t="shared" si="3"/>
        <v>1.1999999999999993</v>
      </c>
      <c r="I27" s="57" t="s">
        <v>27</v>
      </c>
      <c r="J27" s="69">
        <v>0.8</v>
      </c>
    </row>
    <row r="28" spans="1:10" ht="14.4">
      <c r="B28" s="57" t="s">
        <v>68</v>
      </c>
      <c r="C28" s="65">
        <v>43124</v>
      </c>
      <c r="D28" s="58">
        <f t="shared" si="6"/>
        <v>24</v>
      </c>
      <c r="E28" s="66">
        <v>43130</v>
      </c>
      <c r="F28" s="73">
        <f t="shared" si="1"/>
        <v>7</v>
      </c>
      <c r="G28" s="60">
        <f t="shared" si="2"/>
        <v>4.2</v>
      </c>
      <c r="H28" s="74">
        <f t="shared" si="3"/>
        <v>2.8</v>
      </c>
      <c r="I28" s="57" t="s">
        <v>31</v>
      </c>
      <c r="J28" s="69">
        <v>0.6</v>
      </c>
    </row>
    <row r="29" spans="1:10" ht="14.4">
      <c r="B29" s="57" t="s">
        <v>69</v>
      </c>
      <c r="C29" s="65">
        <v>43130</v>
      </c>
      <c r="D29" s="58">
        <f t="shared" si="6"/>
        <v>30</v>
      </c>
      <c r="E29" s="66">
        <v>43131</v>
      </c>
      <c r="F29" s="73">
        <f t="shared" si="1"/>
        <v>2</v>
      </c>
      <c r="G29" s="60">
        <f t="shared" si="2"/>
        <v>0</v>
      </c>
      <c r="H29" s="74">
        <f t="shared" si="3"/>
        <v>2</v>
      </c>
      <c r="I29" s="57" t="s">
        <v>33</v>
      </c>
      <c r="J29" s="69">
        <v>0</v>
      </c>
    </row>
    <row r="30" spans="1:1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</sheetData>
  <mergeCells count="15">
    <mergeCell ref="I6:I7"/>
    <mergeCell ref="J6:J7"/>
    <mergeCell ref="F6:F7"/>
    <mergeCell ref="AE6:AI6"/>
    <mergeCell ref="Z6:AD6"/>
    <mergeCell ref="U6:Y6"/>
    <mergeCell ref="K6:O6"/>
    <mergeCell ref="P6:T6"/>
    <mergeCell ref="C6:C7"/>
    <mergeCell ref="A6:A7"/>
    <mergeCell ref="B6:B7"/>
    <mergeCell ref="G6:G7"/>
    <mergeCell ref="H6:H7"/>
    <mergeCell ref="D6:D7"/>
    <mergeCell ref="E6:E7"/>
  </mergeCells>
  <conditionalFormatting sqref="J9:J13 J15:J18 J20:J24 J26:J29">
    <cfRule type="colorScale" priority="1">
      <colorScale>
        <cfvo type="percent" val="0"/>
        <cfvo type="percent" val="100"/>
        <color rgb="FFFFFFFF"/>
        <color rgb="FF5CBCD6"/>
      </colorScale>
    </cfRule>
  </conditionalFormatting>
  <dataValidations count="1">
    <dataValidation type="custom" allowBlank="1" showDropDown="1" sqref="C9:C13 E9:E13 E15:E18 E20:E24 C26:C29 E26:E29" xr:uid="{00000000-0002-0000-0000-000000000000}">
      <formula1>OR(NOT(ISERROR(DATEVALUE(C9))), AND(ISNUMBER(C9), LEFT(CELL("format", C9))="D"))</formula1>
    </dataValidation>
  </dataValidations>
  <pageMargins left="0.7" right="0.7" top="0.75" bottom="0.75" header="0.3" footer="0.3"/>
  <pageSetup orientation="portrait" r:id="rId1"/>
  <headerFooter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57"/>
  <sheetViews>
    <sheetView showGridLines="0" tabSelected="1" topLeftCell="A3" zoomScale="55" zoomScaleNormal="55" workbookViewId="0">
      <selection activeCell="M58" sqref="M58"/>
    </sheetView>
  </sheetViews>
  <sheetFormatPr defaultColWidth="14.44140625" defaultRowHeight="15.75" customHeight="1"/>
  <cols>
    <col min="1" max="1" width="0.109375" customWidth="1"/>
    <col min="2" max="2" width="105.109375" customWidth="1"/>
    <col min="3" max="3" width="26.88671875" customWidth="1"/>
    <col min="4" max="4" width="20.6640625" customWidth="1"/>
    <col min="5" max="5" width="23.5546875" customWidth="1"/>
    <col min="6" max="6" width="29.5546875" customWidth="1"/>
    <col min="7" max="8" width="7.33203125" customWidth="1"/>
    <col min="9" max="10" width="3.6640625" customWidth="1"/>
    <col min="11" max="11" width="6.44140625" customWidth="1"/>
    <col min="12" max="30" width="4.44140625" customWidth="1"/>
    <col min="31" max="32" width="7.33203125" customWidth="1"/>
  </cols>
  <sheetData>
    <row r="1" spans="1:32" ht="15.7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2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>
      <c r="A2" s="1"/>
      <c r="B2" s="1"/>
      <c r="C2" s="1"/>
      <c r="D2" s="2"/>
      <c r="E2" s="2"/>
      <c r="F2" s="2"/>
      <c r="G2" s="1"/>
      <c r="H2" s="1"/>
      <c r="I2" s="1"/>
      <c r="J2" s="1"/>
      <c r="K2" s="2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30" customHeight="1">
      <c r="A3" s="114" t="s">
        <v>70</v>
      </c>
      <c r="B3" s="115"/>
      <c r="C3" s="115"/>
      <c r="D3" s="115"/>
      <c r="E3" s="115"/>
      <c r="F3" s="115"/>
      <c r="G3" s="5"/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5"/>
      <c r="AF3" s="5"/>
    </row>
    <row r="4" spans="1:32" ht="15.75" customHeight="1">
      <c r="A4" s="45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4.4">
      <c r="A5" s="110"/>
      <c r="B5" s="117" t="s">
        <v>1</v>
      </c>
      <c r="C5" s="117" t="s">
        <v>91</v>
      </c>
      <c r="D5" s="119" t="s">
        <v>92</v>
      </c>
      <c r="E5" s="117" t="s">
        <v>93</v>
      </c>
      <c r="F5" s="116"/>
      <c r="L5" s="113"/>
      <c r="M5" s="111"/>
      <c r="N5" s="111"/>
      <c r="O5" s="111"/>
      <c r="P5" s="111"/>
      <c r="Q5" s="112"/>
      <c r="R5" s="111"/>
      <c r="S5" s="111"/>
      <c r="T5" s="111"/>
      <c r="U5" s="111"/>
      <c r="V5" s="113"/>
      <c r="W5" s="111"/>
      <c r="X5" s="111"/>
      <c r="Y5" s="111"/>
      <c r="Z5" s="111"/>
      <c r="AA5" s="112"/>
      <c r="AB5" s="111"/>
      <c r="AC5" s="111"/>
      <c r="AD5" s="111"/>
      <c r="AE5" s="111"/>
      <c r="AF5" s="49"/>
    </row>
    <row r="6" spans="1:32" ht="12.6" customHeight="1">
      <c r="A6" s="111"/>
      <c r="B6" s="118"/>
      <c r="C6" s="118"/>
      <c r="D6" s="120"/>
      <c r="E6" s="118"/>
      <c r="F6" s="116"/>
      <c r="G6" s="76"/>
      <c r="H6" s="76"/>
      <c r="I6" s="76"/>
      <c r="J6" s="76"/>
      <c r="K6" s="76"/>
      <c r="L6" s="49"/>
      <c r="M6" s="49"/>
      <c r="N6" s="49"/>
      <c r="O6" s="50"/>
      <c r="P6" s="49"/>
      <c r="Q6" s="49"/>
      <c r="R6" s="49"/>
      <c r="S6" s="49"/>
      <c r="T6" s="50"/>
      <c r="U6" s="49"/>
      <c r="V6" s="49"/>
      <c r="W6" s="49"/>
      <c r="X6" s="49"/>
      <c r="Y6" s="50"/>
      <c r="Z6" s="49"/>
      <c r="AA6" s="49"/>
      <c r="AB6" s="49"/>
      <c r="AC6" s="49"/>
      <c r="AD6" s="50"/>
      <c r="AE6" s="49"/>
      <c r="AF6" s="49"/>
    </row>
    <row r="7" spans="1:32" ht="21">
      <c r="B7" s="91" t="s">
        <v>71</v>
      </c>
      <c r="C7" s="98"/>
      <c r="D7" s="98"/>
      <c r="E7" s="99" t="s">
        <v>111</v>
      </c>
      <c r="F7" s="88"/>
      <c r="G7" s="77"/>
      <c r="H7" s="78"/>
      <c r="I7" s="79"/>
      <c r="J7" s="79"/>
      <c r="K7" s="7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</row>
    <row r="8" spans="1:32" ht="10.199999999999999" customHeight="1">
      <c r="B8" s="93"/>
      <c r="C8" s="86"/>
      <c r="D8" s="100"/>
      <c r="E8" s="86"/>
      <c r="F8" s="88"/>
    </row>
    <row r="9" spans="1:32" ht="16.8" customHeight="1">
      <c r="B9" s="94" t="s">
        <v>80</v>
      </c>
      <c r="C9" s="101"/>
      <c r="D9" s="102"/>
      <c r="E9" s="103" t="s">
        <v>73</v>
      </c>
      <c r="F9" s="88"/>
      <c r="G9" s="80"/>
      <c r="H9" s="80"/>
      <c r="I9" s="80"/>
      <c r="J9" s="80"/>
      <c r="K9" s="8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7.399999999999999" customHeight="1">
      <c r="B10" s="94" t="s">
        <v>81</v>
      </c>
      <c r="C10" s="101"/>
      <c r="D10" s="102"/>
      <c r="E10" s="103" t="s">
        <v>73</v>
      </c>
      <c r="F10" s="88"/>
      <c r="G10" s="80"/>
      <c r="H10" s="80"/>
      <c r="I10" s="80"/>
      <c r="J10" s="80"/>
      <c r="K10" s="8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5.6" customHeight="1">
      <c r="B11" s="94" t="s">
        <v>82</v>
      </c>
      <c r="C11" s="101"/>
      <c r="D11" s="102"/>
      <c r="E11" s="104" t="s">
        <v>112</v>
      </c>
      <c r="F11" s="88"/>
      <c r="G11" s="80"/>
      <c r="H11" s="80"/>
      <c r="I11" s="80"/>
      <c r="J11" s="80"/>
      <c r="K11" s="8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5" customHeight="1">
      <c r="A12" t="s">
        <v>72</v>
      </c>
      <c r="B12" s="94" t="s">
        <v>83</v>
      </c>
      <c r="C12" s="101"/>
      <c r="D12" s="102"/>
      <c r="E12" s="104" t="s">
        <v>112</v>
      </c>
      <c r="F12" s="88"/>
      <c r="G12" s="81"/>
      <c r="H12" s="81"/>
      <c r="I12" s="81"/>
      <c r="J12" s="81"/>
      <c r="K12" s="81"/>
    </row>
    <row r="13" spans="1:32" ht="20.399999999999999">
      <c r="A13" s="52" t="s">
        <v>36</v>
      </c>
      <c r="B13" s="90" t="s">
        <v>76</v>
      </c>
      <c r="C13" s="98"/>
      <c r="D13" s="98"/>
      <c r="E13" s="109" t="s">
        <v>73</v>
      </c>
      <c r="F13" s="88"/>
      <c r="G13" s="81"/>
      <c r="H13" s="81"/>
      <c r="I13" s="81"/>
      <c r="J13" s="81"/>
      <c r="K13" s="81"/>
    </row>
    <row r="14" spans="1:32" ht="11.4" customHeight="1">
      <c r="B14" s="93"/>
      <c r="C14" s="100"/>
      <c r="D14" s="100"/>
      <c r="E14" s="86"/>
      <c r="F14" s="88"/>
    </row>
    <row r="15" spans="1:32" ht="17.399999999999999" customHeight="1">
      <c r="B15" s="94" t="s">
        <v>77</v>
      </c>
      <c r="C15" s="101"/>
      <c r="D15" s="102"/>
      <c r="E15" s="104" t="s">
        <v>74</v>
      </c>
      <c r="F15" s="88"/>
      <c r="G15" s="81"/>
      <c r="H15" s="81"/>
      <c r="I15" s="81"/>
      <c r="J15" s="81"/>
      <c r="K15" s="81"/>
    </row>
    <row r="16" spans="1:32" ht="15.6" customHeight="1">
      <c r="B16" s="94" t="s">
        <v>78</v>
      </c>
      <c r="C16" s="101"/>
      <c r="D16" s="102"/>
      <c r="E16" s="104" t="s">
        <v>75</v>
      </c>
      <c r="F16" s="88"/>
      <c r="G16" s="81"/>
      <c r="H16" s="81"/>
      <c r="I16" s="81"/>
      <c r="J16" s="81"/>
      <c r="K16" s="81"/>
    </row>
    <row r="17" spans="1:11" ht="15" customHeight="1">
      <c r="B17" s="94" t="s">
        <v>79</v>
      </c>
      <c r="C17" s="101"/>
      <c r="D17" s="102"/>
      <c r="E17" s="104" t="s">
        <v>75</v>
      </c>
      <c r="F17" s="88"/>
      <c r="G17" s="81"/>
      <c r="H17" s="81"/>
      <c r="I17" s="81"/>
      <c r="J17" s="81"/>
      <c r="K17" s="81"/>
    </row>
    <row r="18" spans="1:11" ht="20.399999999999999">
      <c r="A18" s="52" t="s">
        <v>41</v>
      </c>
      <c r="B18" s="91" t="s">
        <v>100</v>
      </c>
      <c r="C18" s="98"/>
      <c r="D18" s="98"/>
      <c r="E18" s="109" t="s">
        <v>101</v>
      </c>
      <c r="F18" s="88"/>
      <c r="G18" s="81"/>
      <c r="H18" s="81"/>
      <c r="I18" s="81"/>
      <c r="J18" s="81"/>
      <c r="K18" s="81"/>
    </row>
    <row r="19" spans="1:11" s="72" customFormat="1" ht="13.8" customHeight="1">
      <c r="A19" s="52"/>
      <c r="B19" s="93"/>
      <c r="C19" s="100"/>
      <c r="D19" s="100"/>
      <c r="E19" s="86"/>
      <c r="F19" s="88"/>
      <c r="G19" s="81"/>
      <c r="H19" s="81"/>
      <c r="I19" s="81"/>
      <c r="J19" s="81"/>
      <c r="K19" s="81"/>
    </row>
    <row r="20" spans="1:11" s="106" customFormat="1" ht="13.8" customHeight="1">
      <c r="A20" s="52"/>
      <c r="B20" s="93" t="s">
        <v>103</v>
      </c>
      <c r="C20" s="100"/>
      <c r="D20" s="100"/>
      <c r="E20" s="86"/>
      <c r="F20" s="88"/>
      <c r="G20" s="83"/>
      <c r="H20" s="83"/>
      <c r="I20" s="83"/>
      <c r="J20" s="83"/>
      <c r="K20" s="83"/>
    </row>
    <row r="21" spans="1:11" ht="16.2" customHeight="1">
      <c r="B21" s="94" t="s">
        <v>104</v>
      </c>
      <c r="C21" s="101"/>
      <c r="D21" s="102"/>
      <c r="E21" s="104"/>
      <c r="F21" s="88"/>
      <c r="G21" s="81"/>
      <c r="H21" s="81"/>
      <c r="I21" s="81"/>
      <c r="J21" s="81"/>
      <c r="K21" s="81"/>
    </row>
    <row r="22" spans="1:11" ht="15.6" customHeight="1">
      <c r="B22" s="94" t="s">
        <v>105</v>
      </c>
      <c r="C22" s="101"/>
      <c r="D22" s="102"/>
      <c r="E22" s="104"/>
      <c r="F22" s="88"/>
      <c r="G22" s="81"/>
      <c r="H22" s="81"/>
      <c r="I22" s="81"/>
      <c r="J22" s="81"/>
      <c r="K22" s="81"/>
    </row>
    <row r="23" spans="1:11" s="82" customFormat="1" ht="15.6" customHeight="1">
      <c r="B23" s="94" t="s">
        <v>113</v>
      </c>
      <c r="C23" s="101"/>
      <c r="D23" s="102"/>
      <c r="E23" s="104"/>
      <c r="F23" s="88"/>
      <c r="G23" s="83"/>
      <c r="H23" s="83"/>
      <c r="I23" s="83"/>
      <c r="J23" s="83"/>
      <c r="K23" s="83"/>
    </row>
    <row r="24" spans="1:11" s="82" customFormat="1" ht="16.2" customHeight="1">
      <c r="B24" s="94" t="s">
        <v>84</v>
      </c>
      <c r="C24" s="101"/>
      <c r="D24" s="102"/>
      <c r="E24" s="104"/>
      <c r="F24" s="88"/>
      <c r="G24" s="83"/>
      <c r="H24" s="83"/>
      <c r="I24" s="83"/>
      <c r="J24" s="83"/>
      <c r="K24" s="83"/>
    </row>
    <row r="25" spans="1:11" s="72" customFormat="1" ht="15.6" customHeight="1">
      <c r="B25" s="94" t="s">
        <v>94</v>
      </c>
      <c r="C25" s="101"/>
      <c r="D25" s="102"/>
      <c r="E25" s="104"/>
      <c r="F25" s="88"/>
      <c r="G25" s="81"/>
      <c r="H25" s="81"/>
      <c r="I25" s="81"/>
      <c r="J25" s="81"/>
      <c r="K25" s="81"/>
    </row>
    <row r="26" spans="1:11" ht="19.8" customHeight="1">
      <c r="A26" s="2"/>
      <c r="B26" s="91" t="s">
        <v>107</v>
      </c>
      <c r="C26" s="99"/>
      <c r="D26" s="98"/>
      <c r="E26" s="99" t="s">
        <v>101</v>
      </c>
      <c r="F26" s="88"/>
      <c r="G26" s="81"/>
      <c r="H26" s="81"/>
      <c r="I26" s="81"/>
      <c r="J26" s="81"/>
      <c r="K26" s="81"/>
    </row>
    <row r="27" spans="1:11" ht="12.6" customHeight="1">
      <c r="A27" s="2"/>
      <c r="B27" s="92"/>
      <c r="C27" s="87"/>
      <c r="D27" s="87"/>
      <c r="E27" s="87"/>
      <c r="F27" s="88"/>
      <c r="G27" s="81"/>
      <c r="H27" s="81"/>
      <c r="I27" s="81"/>
      <c r="J27" s="81"/>
      <c r="K27" s="81"/>
    </row>
    <row r="28" spans="1:11" s="84" customFormat="1" ht="14.4" customHeight="1">
      <c r="A28" s="2"/>
      <c r="B28" s="92" t="s">
        <v>106</v>
      </c>
      <c r="C28" s="87"/>
      <c r="D28" s="87"/>
      <c r="E28" s="87"/>
      <c r="F28" s="88"/>
      <c r="G28" s="83"/>
      <c r="H28" s="83"/>
      <c r="I28" s="83"/>
      <c r="J28" s="83"/>
      <c r="K28" s="83"/>
    </row>
    <row r="29" spans="1:11" s="82" customFormat="1" ht="15.6" customHeight="1">
      <c r="A29" s="2"/>
      <c r="B29" s="93" t="s">
        <v>114</v>
      </c>
      <c r="C29" s="87"/>
      <c r="D29" s="87"/>
      <c r="E29" s="87"/>
      <c r="F29" s="88"/>
      <c r="G29" s="83"/>
      <c r="H29" s="83"/>
      <c r="I29" s="83"/>
      <c r="J29" s="83"/>
      <c r="K29" s="83"/>
    </row>
    <row r="30" spans="1:11" s="75" customFormat="1" ht="15" customHeight="1">
      <c r="A30" s="2"/>
      <c r="B30" s="94" t="s">
        <v>94</v>
      </c>
      <c r="C30" s="87"/>
      <c r="D30" s="87"/>
      <c r="E30" s="87"/>
      <c r="F30" s="88"/>
      <c r="G30" s="81"/>
      <c r="H30" s="81"/>
      <c r="I30" s="81"/>
      <c r="J30" s="81"/>
      <c r="K30" s="81"/>
    </row>
    <row r="31" spans="1:11" ht="15.6">
      <c r="B31" s="96" t="s">
        <v>87</v>
      </c>
      <c r="C31" s="105"/>
      <c r="D31" s="105"/>
      <c r="E31" s="107" t="s">
        <v>74</v>
      </c>
      <c r="F31" s="88"/>
    </row>
    <row r="32" spans="1:11" ht="15.6">
      <c r="B32" s="93"/>
      <c r="F32" s="88"/>
    </row>
    <row r="33" spans="2:34" ht="15.6">
      <c r="B33" s="93" t="s">
        <v>115</v>
      </c>
      <c r="F33" s="88"/>
    </row>
    <row r="34" spans="2:34" ht="15.6">
      <c r="B34" s="93" t="s">
        <v>116</v>
      </c>
      <c r="F34" s="88"/>
    </row>
    <row r="35" spans="2:34" ht="15.6">
      <c r="B35" s="93" t="s">
        <v>84</v>
      </c>
      <c r="F35" s="88"/>
    </row>
    <row r="36" spans="2:34" ht="15" customHeight="1">
      <c r="B36" s="93" t="s">
        <v>94</v>
      </c>
      <c r="F36" s="88"/>
    </row>
    <row r="37" spans="2:34" s="85" customFormat="1" ht="19.8" customHeight="1">
      <c r="B37" s="97" t="s">
        <v>96</v>
      </c>
      <c r="E37" s="108" t="s">
        <v>101</v>
      </c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</row>
    <row r="38" spans="2:34" ht="15.6">
      <c r="B38" s="93"/>
      <c r="F38" s="88"/>
    </row>
    <row r="39" spans="2:34" ht="15.6">
      <c r="B39" s="93" t="s">
        <v>108</v>
      </c>
      <c r="F39" s="88"/>
    </row>
    <row r="40" spans="2:34" ht="16.8" customHeight="1">
      <c r="B40" s="93" t="s">
        <v>109</v>
      </c>
      <c r="F40" s="88"/>
    </row>
    <row r="41" spans="2:34" ht="15.6" customHeight="1">
      <c r="B41" s="93" t="s">
        <v>86</v>
      </c>
      <c r="F41" s="88"/>
    </row>
    <row r="42" spans="2:34" s="84" customFormat="1" ht="15.6" customHeight="1">
      <c r="B42" s="93" t="s">
        <v>95</v>
      </c>
      <c r="F42" s="88"/>
    </row>
    <row r="43" spans="2:34" ht="15" customHeight="1">
      <c r="B43" s="93" t="s">
        <v>94</v>
      </c>
      <c r="F43" s="88"/>
    </row>
    <row r="44" spans="2:34" ht="13.2" customHeight="1">
      <c r="B44" s="93" t="s">
        <v>85</v>
      </c>
      <c r="F44" s="88"/>
    </row>
    <row r="45" spans="2:34" s="89" customFormat="1" ht="21" customHeight="1">
      <c r="B45" s="97" t="s">
        <v>97</v>
      </c>
      <c r="C45" s="85"/>
      <c r="D45" s="85"/>
      <c r="E45" s="108" t="s">
        <v>101</v>
      </c>
      <c r="F45" s="88"/>
    </row>
    <row r="46" spans="2:34" ht="14.4" customHeight="1">
      <c r="B46" s="93"/>
      <c r="F46" s="88"/>
    </row>
    <row r="47" spans="2:34" s="106" customFormat="1" ht="15.6" customHeight="1">
      <c r="B47" s="93" t="s">
        <v>110</v>
      </c>
      <c r="F47" s="88"/>
    </row>
    <row r="48" spans="2:34" ht="15.75" customHeight="1">
      <c r="B48" s="93" t="s">
        <v>102</v>
      </c>
      <c r="F48" s="88"/>
    </row>
    <row r="49" spans="2:6" ht="15.75" customHeight="1">
      <c r="B49" s="93" t="s">
        <v>88</v>
      </c>
      <c r="F49" s="88"/>
    </row>
    <row r="50" spans="2:6" ht="15.75" customHeight="1">
      <c r="B50" s="93" t="s">
        <v>98</v>
      </c>
      <c r="F50" s="88"/>
    </row>
    <row r="51" spans="2:6" s="84" customFormat="1" ht="15.75" customHeight="1">
      <c r="B51" s="93" t="s">
        <v>99</v>
      </c>
      <c r="F51" s="88"/>
    </row>
    <row r="52" spans="2:6" ht="15.75" customHeight="1">
      <c r="B52" s="93" t="s">
        <v>89</v>
      </c>
      <c r="F52" s="88"/>
    </row>
    <row r="53" spans="2:6" ht="15.75" customHeight="1">
      <c r="B53" s="93" t="s">
        <v>90</v>
      </c>
      <c r="F53" s="88"/>
    </row>
    <row r="54" spans="2:6" ht="15.75" customHeight="1">
      <c r="B54" s="95"/>
      <c r="F54" s="88"/>
    </row>
    <row r="55" spans="2:6" ht="15.75" customHeight="1">
      <c r="F55" s="88"/>
    </row>
    <row r="56" spans="2:6" ht="15.75" customHeight="1">
      <c r="F56" s="88"/>
    </row>
    <row r="57" spans="2:6" ht="15.75" customHeight="1">
      <c r="F57" s="88"/>
    </row>
  </sheetData>
  <mergeCells count="11">
    <mergeCell ref="AA5:AE5"/>
    <mergeCell ref="V5:Z5"/>
    <mergeCell ref="Q5:U5"/>
    <mergeCell ref="L5:P5"/>
    <mergeCell ref="A5:A6"/>
    <mergeCell ref="B5:B6"/>
    <mergeCell ref="A3:F3"/>
    <mergeCell ref="F5:F6"/>
    <mergeCell ref="E5:E6"/>
    <mergeCell ref="D5:D6"/>
    <mergeCell ref="C5:C6"/>
  </mergeCells>
  <conditionalFormatting sqref="F9">
    <cfRule type="colorScale" priority="4">
      <colorScale>
        <cfvo type="percent" val="0"/>
        <cfvo type="percent" val="100"/>
        <color rgb="FFFFFFFF"/>
        <color rgb="FF5CBCD6"/>
      </colorScale>
    </cfRule>
  </conditionalFormatting>
  <conditionalFormatting sqref="F10">
    <cfRule type="colorScale" priority="3">
      <colorScale>
        <cfvo type="percent" val="0"/>
        <cfvo type="percent" val="100"/>
        <color rgb="FFFFFFFF"/>
        <color rgb="FF5CBCD6"/>
      </colorScale>
    </cfRule>
  </conditionalFormatting>
  <conditionalFormatting sqref="F25">
    <cfRule type="colorScale" priority="2">
      <colorScale>
        <cfvo type="percent" val="0"/>
        <cfvo type="percent" val="100"/>
        <color rgb="FFFFFFFF"/>
        <color rgb="FF5CBCD6"/>
      </colorScale>
    </cfRule>
  </conditionalFormatting>
  <conditionalFormatting sqref="F15:F17 F11:F12 F21:F24">
    <cfRule type="colorScale" priority="10">
      <colorScale>
        <cfvo type="percent" val="0"/>
        <cfvo type="percent" val="100"/>
        <color rgb="FFFFFFFF"/>
        <color rgb="FF5CBCD6"/>
      </colorScale>
    </cfRule>
  </conditionalFormatting>
  <dataValidations count="1">
    <dataValidation type="custom" allowBlank="1" showDropDown="1" sqref="D15:D17 C9:D12 D21:D25" xr:uid="{00000000-0002-0000-0100-000000000000}">
      <formula1>OR(NOT(ISERROR(DATEVALUE(C9))), AND(ISNUMBER(C9), LEFT(CELL("format", C9))="D"))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996"/>
  <sheetViews>
    <sheetView showGridLines="0" zoomScale="70" zoomScaleNormal="70" workbookViewId="0">
      <selection activeCell="A3" sqref="A3:XFD3"/>
    </sheetView>
  </sheetViews>
  <sheetFormatPr defaultColWidth="14.44140625" defaultRowHeight="15.75" customHeight="1"/>
  <cols>
    <col min="1" max="1" width="2.77734375" customWidth="1"/>
    <col min="2" max="2" width="35.77734375" customWidth="1"/>
    <col min="3" max="4" width="10.109375" customWidth="1"/>
    <col min="5" max="7" width="12.33203125" customWidth="1"/>
    <col min="8" max="67" width="4.44140625" customWidth="1"/>
  </cols>
  <sheetData>
    <row r="1" spans="1:67" ht="15.75" customHeight="1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2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ht="15.75" customHeight="1">
      <c r="A2" s="3"/>
      <c r="B2" s="1"/>
      <c r="C2" s="1"/>
      <c r="D2" s="1"/>
      <c r="E2" s="2"/>
      <c r="F2" s="2"/>
      <c r="G2" s="2"/>
      <c r="H2" s="1"/>
      <c r="I2" s="1"/>
      <c r="J2" s="1"/>
      <c r="K2" s="1"/>
      <c r="L2" s="2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spans="1:67" ht="30" customHeight="1">
      <c r="A3" s="127" t="s">
        <v>0</v>
      </c>
      <c r="B3" s="115"/>
      <c r="C3" s="115"/>
      <c r="D3" s="115"/>
      <c r="E3" s="115"/>
      <c r="F3" s="115"/>
      <c r="G3" s="115"/>
      <c r="H3" s="5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5"/>
      <c r="AG3" s="5"/>
      <c r="AH3" s="5"/>
      <c r="AI3" s="5"/>
      <c r="AJ3" s="5"/>
      <c r="AK3" s="5"/>
      <c r="AL3" s="5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15.75" customHeight="1">
      <c r="A4" s="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5.75" customHeight="1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4.4">
      <c r="A6" s="110"/>
      <c r="B6" s="110" t="s">
        <v>1</v>
      </c>
      <c r="C6" s="110" t="s">
        <v>2</v>
      </c>
      <c r="D6" s="110" t="s">
        <v>3</v>
      </c>
      <c r="E6" s="110" t="s">
        <v>4</v>
      </c>
      <c r="F6" s="110" t="s">
        <v>5</v>
      </c>
      <c r="G6" s="128" t="s">
        <v>6</v>
      </c>
      <c r="H6" s="124" t="s">
        <v>7</v>
      </c>
      <c r="I6" s="125"/>
      <c r="J6" s="125"/>
      <c r="K6" s="125"/>
      <c r="L6" s="125"/>
      <c r="M6" s="126" t="s">
        <v>8</v>
      </c>
      <c r="N6" s="125"/>
      <c r="O6" s="125"/>
      <c r="P6" s="125"/>
      <c r="Q6" s="125"/>
      <c r="R6" s="124" t="s">
        <v>9</v>
      </c>
      <c r="S6" s="125"/>
      <c r="T6" s="125"/>
      <c r="U6" s="125"/>
      <c r="V6" s="125"/>
      <c r="W6" s="126" t="s">
        <v>10</v>
      </c>
      <c r="X6" s="125"/>
      <c r="Y6" s="125"/>
      <c r="Z6" s="125"/>
      <c r="AA6" s="125"/>
      <c r="AB6" s="124" t="s">
        <v>11</v>
      </c>
      <c r="AC6" s="125"/>
      <c r="AD6" s="125"/>
      <c r="AE6" s="125"/>
      <c r="AF6" s="125"/>
      <c r="AG6" s="126" t="s">
        <v>12</v>
      </c>
      <c r="AH6" s="125"/>
      <c r="AI6" s="125"/>
      <c r="AJ6" s="125"/>
      <c r="AK6" s="125"/>
      <c r="AL6" s="124" t="s">
        <v>13</v>
      </c>
      <c r="AM6" s="125"/>
      <c r="AN6" s="125"/>
      <c r="AO6" s="125"/>
      <c r="AP6" s="125"/>
      <c r="AQ6" s="126" t="s">
        <v>14</v>
      </c>
      <c r="AR6" s="125"/>
      <c r="AS6" s="125"/>
      <c r="AT6" s="125"/>
      <c r="AU6" s="125"/>
      <c r="AV6" s="124" t="s">
        <v>15</v>
      </c>
      <c r="AW6" s="125"/>
      <c r="AX6" s="125"/>
      <c r="AY6" s="125"/>
      <c r="AZ6" s="125"/>
      <c r="BA6" s="126" t="s">
        <v>16</v>
      </c>
      <c r="BB6" s="125"/>
      <c r="BC6" s="125"/>
      <c r="BD6" s="125"/>
      <c r="BE6" s="125"/>
      <c r="BF6" s="124" t="s">
        <v>17</v>
      </c>
      <c r="BG6" s="125"/>
      <c r="BH6" s="125"/>
      <c r="BI6" s="125"/>
      <c r="BJ6" s="125"/>
      <c r="BK6" s="126" t="s">
        <v>18</v>
      </c>
      <c r="BL6" s="125"/>
      <c r="BM6" s="125"/>
      <c r="BN6" s="125"/>
      <c r="BO6" s="125"/>
    </row>
    <row r="7" spans="1:67" ht="14.4">
      <c r="A7" s="111"/>
      <c r="B7" s="111"/>
      <c r="C7" s="111"/>
      <c r="D7" s="111"/>
      <c r="E7" s="111"/>
      <c r="F7" s="111"/>
      <c r="G7" s="129"/>
      <c r="H7" s="10" t="s">
        <v>19</v>
      </c>
      <c r="I7" s="10" t="s">
        <v>20</v>
      </c>
      <c r="J7" s="10" t="s">
        <v>21</v>
      </c>
      <c r="K7" s="11" t="s">
        <v>22</v>
      </c>
      <c r="L7" s="10" t="s">
        <v>23</v>
      </c>
      <c r="M7" s="12" t="s">
        <v>19</v>
      </c>
      <c r="N7" s="12" t="s">
        <v>20</v>
      </c>
      <c r="O7" s="12" t="s">
        <v>21</v>
      </c>
      <c r="P7" s="13" t="s">
        <v>22</v>
      </c>
      <c r="Q7" s="12" t="s">
        <v>23</v>
      </c>
      <c r="R7" s="10" t="s">
        <v>19</v>
      </c>
      <c r="S7" s="10" t="s">
        <v>20</v>
      </c>
      <c r="T7" s="10" t="s">
        <v>21</v>
      </c>
      <c r="U7" s="11" t="s">
        <v>22</v>
      </c>
      <c r="V7" s="10" t="s">
        <v>23</v>
      </c>
      <c r="W7" s="12" t="s">
        <v>19</v>
      </c>
      <c r="X7" s="12" t="s">
        <v>20</v>
      </c>
      <c r="Y7" s="12" t="s">
        <v>21</v>
      </c>
      <c r="Z7" s="13" t="s">
        <v>22</v>
      </c>
      <c r="AA7" s="12" t="s">
        <v>23</v>
      </c>
      <c r="AB7" s="10" t="s">
        <v>19</v>
      </c>
      <c r="AC7" s="10" t="s">
        <v>20</v>
      </c>
      <c r="AD7" s="10" t="s">
        <v>21</v>
      </c>
      <c r="AE7" s="11" t="s">
        <v>22</v>
      </c>
      <c r="AF7" s="10" t="s">
        <v>23</v>
      </c>
      <c r="AG7" s="12" t="s">
        <v>19</v>
      </c>
      <c r="AH7" s="12" t="s">
        <v>20</v>
      </c>
      <c r="AI7" s="12" t="s">
        <v>21</v>
      </c>
      <c r="AJ7" s="13" t="s">
        <v>22</v>
      </c>
      <c r="AK7" s="12" t="s">
        <v>23</v>
      </c>
      <c r="AL7" s="10" t="s">
        <v>19</v>
      </c>
      <c r="AM7" s="10" t="s">
        <v>20</v>
      </c>
      <c r="AN7" s="10" t="s">
        <v>21</v>
      </c>
      <c r="AO7" s="11" t="s">
        <v>22</v>
      </c>
      <c r="AP7" s="10" t="s">
        <v>23</v>
      </c>
      <c r="AQ7" s="12" t="s">
        <v>19</v>
      </c>
      <c r="AR7" s="12" t="s">
        <v>20</v>
      </c>
      <c r="AS7" s="12" t="s">
        <v>21</v>
      </c>
      <c r="AT7" s="13" t="s">
        <v>22</v>
      </c>
      <c r="AU7" s="12" t="s">
        <v>23</v>
      </c>
      <c r="AV7" s="10" t="s">
        <v>19</v>
      </c>
      <c r="AW7" s="10" t="s">
        <v>20</v>
      </c>
      <c r="AX7" s="10" t="s">
        <v>21</v>
      </c>
      <c r="AY7" s="11" t="s">
        <v>22</v>
      </c>
      <c r="AZ7" s="10" t="s">
        <v>23</v>
      </c>
      <c r="BA7" s="12" t="s">
        <v>19</v>
      </c>
      <c r="BB7" s="12" t="s">
        <v>20</v>
      </c>
      <c r="BC7" s="12" t="s">
        <v>21</v>
      </c>
      <c r="BD7" s="13" t="s">
        <v>22</v>
      </c>
      <c r="BE7" s="12" t="s">
        <v>23</v>
      </c>
      <c r="BF7" s="10" t="s">
        <v>19</v>
      </c>
      <c r="BG7" s="10" t="s">
        <v>20</v>
      </c>
      <c r="BH7" s="10" t="s">
        <v>21</v>
      </c>
      <c r="BI7" s="11" t="s">
        <v>22</v>
      </c>
      <c r="BJ7" s="10" t="s">
        <v>23</v>
      </c>
      <c r="BK7" s="12" t="s">
        <v>19</v>
      </c>
      <c r="BL7" s="12" t="s">
        <v>20</v>
      </c>
      <c r="BM7" s="12" t="s">
        <v>21</v>
      </c>
      <c r="BN7" s="13" t="s">
        <v>22</v>
      </c>
      <c r="BO7" s="12" t="s">
        <v>23</v>
      </c>
    </row>
    <row r="8" spans="1:67" ht="15.6">
      <c r="A8" s="14" t="s">
        <v>24</v>
      </c>
      <c r="B8" s="15"/>
      <c r="C8" s="123"/>
      <c r="D8" s="122"/>
      <c r="E8" s="122"/>
      <c r="F8" s="122"/>
      <c r="G8" s="122"/>
      <c r="H8" s="16"/>
      <c r="I8" s="17"/>
      <c r="J8" s="18"/>
      <c r="K8" s="18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 ht="14.4">
      <c r="B9" s="19" t="s">
        <v>25</v>
      </c>
      <c r="C9" s="20">
        <v>43105</v>
      </c>
      <c r="D9" s="20">
        <v>43108</v>
      </c>
      <c r="E9" s="21">
        <f>NETWORKDAYS(C9,D9)</f>
        <v>2</v>
      </c>
      <c r="F9" s="19" t="s">
        <v>26</v>
      </c>
      <c r="G9" s="22">
        <v>1</v>
      </c>
      <c r="H9" s="23"/>
      <c r="I9" s="24"/>
      <c r="J9" s="25"/>
      <c r="K9" s="25"/>
      <c r="L9" s="25"/>
      <c r="M9" s="26"/>
      <c r="N9" s="26"/>
      <c r="O9" s="26"/>
      <c r="P9" s="26"/>
      <c r="Q9" s="26"/>
      <c r="R9" s="25"/>
      <c r="S9" s="25"/>
      <c r="T9" s="25"/>
      <c r="U9" s="25"/>
      <c r="V9" s="25"/>
      <c r="W9" s="26"/>
      <c r="X9" s="26"/>
      <c r="Y9" s="26"/>
      <c r="Z9" s="26"/>
      <c r="AA9" s="26"/>
      <c r="AB9" s="27"/>
      <c r="AC9" s="27"/>
      <c r="AD9" s="27"/>
      <c r="AE9" s="27"/>
      <c r="AF9" s="27"/>
      <c r="AG9" s="26"/>
      <c r="AH9" s="26"/>
      <c r="AI9" s="26"/>
      <c r="AJ9" s="26"/>
      <c r="AK9" s="26"/>
      <c r="AL9" s="27"/>
      <c r="AM9" s="27"/>
      <c r="AN9" s="27"/>
      <c r="AO9" s="27"/>
      <c r="AP9" s="27"/>
      <c r="AQ9" s="26"/>
      <c r="AR9" s="26"/>
      <c r="AS9" s="26"/>
      <c r="AT9" s="26"/>
      <c r="AU9" s="26"/>
      <c r="AV9" s="25"/>
      <c r="AW9" s="25"/>
      <c r="AX9" s="25"/>
      <c r="AY9" s="25"/>
      <c r="AZ9" s="25"/>
      <c r="BA9" s="26"/>
      <c r="BB9" s="26"/>
      <c r="BC9" s="26"/>
      <c r="BD9" s="26"/>
      <c r="BE9" s="26"/>
      <c r="BF9" s="27"/>
      <c r="BG9" s="27"/>
      <c r="BH9" s="27"/>
      <c r="BI9" s="27"/>
      <c r="BJ9" s="27"/>
      <c r="BK9" s="26"/>
      <c r="BL9" s="26"/>
      <c r="BM9" s="26"/>
      <c r="BN9" s="26"/>
      <c r="BO9" s="28"/>
    </row>
    <row r="10" spans="1:67" ht="14.4">
      <c r="B10" s="19"/>
      <c r="C10" s="20"/>
      <c r="D10" s="20"/>
      <c r="E10" s="21">
        <f t="shared" ref="E10:E14" si="0">NETWORKDAYS(C10,D10)</f>
        <v>0</v>
      </c>
      <c r="F10" s="19" t="s">
        <v>27</v>
      </c>
      <c r="G10" s="29">
        <v>0.8</v>
      </c>
      <c r="H10" s="23"/>
      <c r="I10" s="24"/>
      <c r="J10" s="25"/>
      <c r="K10" s="25"/>
      <c r="L10" s="25"/>
      <c r="M10" s="30"/>
      <c r="N10" s="30"/>
      <c r="O10" s="26"/>
      <c r="P10" s="26"/>
      <c r="Q10" s="26"/>
      <c r="R10" s="25"/>
      <c r="S10" s="25"/>
      <c r="T10" s="25"/>
      <c r="U10" s="25"/>
      <c r="V10" s="25"/>
      <c r="W10" s="26"/>
      <c r="X10" s="26"/>
      <c r="Y10" s="26"/>
      <c r="Z10" s="26"/>
      <c r="AA10" s="26"/>
      <c r="AB10" s="27"/>
      <c r="AC10" s="27"/>
      <c r="AD10" s="27"/>
      <c r="AE10" s="27"/>
      <c r="AF10" s="27"/>
      <c r="AG10" s="26"/>
      <c r="AH10" s="26"/>
      <c r="AI10" s="26"/>
      <c r="AJ10" s="26"/>
      <c r="AK10" s="26"/>
      <c r="AL10" s="27"/>
      <c r="AM10" s="27"/>
      <c r="AN10" s="27"/>
      <c r="AO10" s="27"/>
      <c r="AP10" s="27"/>
      <c r="AQ10" s="26"/>
      <c r="AR10" s="26"/>
      <c r="AS10" s="26"/>
      <c r="AT10" s="26"/>
      <c r="AU10" s="26"/>
      <c r="AV10" s="25"/>
      <c r="AW10" s="25"/>
      <c r="AX10" s="25"/>
      <c r="AY10" s="25"/>
      <c r="AZ10" s="25"/>
      <c r="BA10" s="26"/>
      <c r="BB10" s="26"/>
      <c r="BC10" s="26"/>
      <c r="BD10" s="26"/>
      <c r="BE10" s="26"/>
      <c r="BF10" s="27"/>
      <c r="BG10" s="27"/>
      <c r="BH10" s="27"/>
      <c r="BI10" s="27"/>
      <c r="BJ10" s="27"/>
      <c r="BK10" s="26"/>
      <c r="BL10" s="26"/>
      <c r="BM10" s="26"/>
      <c r="BN10" s="26"/>
      <c r="BO10" s="28"/>
    </row>
    <row r="11" spans="1:67" ht="14.4">
      <c r="B11" s="19" t="s">
        <v>28</v>
      </c>
      <c r="C11" s="20">
        <v>43111</v>
      </c>
      <c r="D11" s="20">
        <v>43116</v>
      </c>
      <c r="E11" s="21">
        <f t="shared" si="0"/>
        <v>4</v>
      </c>
      <c r="F11" s="19" t="s">
        <v>29</v>
      </c>
      <c r="G11" s="22">
        <v>0.6</v>
      </c>
      <c r="H11" s="23"/>
      <c r="I11" s="24"/>
      <c r="J11" s="25"/>
      <c r="K11" s="25"/>
      <c r="L11" s="31"/>
      <c r="M11" s="31"/>
      <c r="N11" s="31"/>
      <c r="O11" s="31"/>
      <c r="P11" s="31"/>
      <c r="Q11" s="26"/>
      <c r="R11" s="25"/>
      <c r="S11" s="25"/>
      <c r="T11" s="25"/>
      <c r="U11" s="25"/>
      <c r="V11" s="25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6"/>
      <c r="AH11" s="26"/>
      <c r="AI11" s="26"/>
      <c r="AJ11" s="26"/>
      <c r="AK11" s="26"/>
      <c r="AL11" s="27"/>
      <c r="AM11" s="27"/>
      <c r="AN11" s="27"/>
      <c r="AO11" s="27"/>
      <c r="AP11" s="27"/>
      <c r="AQ11" s="26"/>
      <c r="AR11" s="26"/>
      <c r="AS11" s="26"/>
      <c r="AT11" s="26"/>
      <c r="AU11" s="26"/>
      <c r="AV11" s="25"/>
      <c r="AW11" s="25"/>
      <c r="AX11" s="25"/>
      <c r="AY11" s="25"/>
      <c r="AZ11" s="25"/>
      <c r="BA11" s="26"/>
      <c r="BB11" s="26"/>
      <c r="BC11" s="26"/>
      <c r="BD11" s="26"/>
      <c r="BE11" s="26"/>
      <c r="BF11" s="27"/>
      <c r="BG11" s="27"/>
      <c r="BH11" s="27"/>
      <c r="BI11" s="27"/>
      <c r="BJ11" s="27"/>
      <c r="BK11" s="26"/>
      <c r="BL11" s="26"/>
      <c r="BM11" s="26"/>
      <c r="BN11" s="26"/>
      <c r="BO11" s="28"/>
    </row>
    <row r="12" spans="1:67" ht="14.4">
      <c r="B12" s="19" t="s">
        <v>30</v>
      </c>
      <c r="C12" s="20">
        <v>43114</v>
      </c>
      <c r="D12" s="20">
        <v>43119</v>
      </c>
      <c r="E12" s="21">
        <f t="shared" si="0"/>
        <v>5</v>
      </c>
      <c r="F12" s="19" t="s">
        <v>31</v>
      </c>
      <c r="G12" s="32">
        <v>0.4</v>
      </c>
      <c r="H12" s="23"/>
      <c r="I12" s="24"/>
      <c r="J12" s="25"/>
      <c r="K12" s="25"/>
      <c r="L12" s="25"/>
      <c r="M12" s="26"/>
      <c r="N12" s="31"/>
      <c r="O12" s="31"/>
      <c r="P12" s="31"/>
      <c r="Q12" s="31"/>
      <c r="R12" s="31"/>
      <c r="S12" s="25"/>
      <c r="T12" s="25"/>
      <c r="U12" s="25"/>
      <c r="V12" s="25"/>
      <c r="W12" s="26"/>
      <c r="X12" s="26"/>
      <c r="Y12" s="26"/>
      <c r="Z12" s="26"/>
      <c r="AA12" s="26"/>
      <c r="AB12" s="27"/>
      <c r="AC12" s="27"/>
      <c r="AD12" s="27"/>
      <c r="AE12" s="27"/>
      <c r="AF12" s="27"/>
      <c r="AG12" s="26"/>
      <c r="AH12" s="26"/>
      <c r="AI12" s="26"/>
      <c r="AJ12" s="26"/>
      <c r="AK12" s="26"/>
      <c r="AL12" s="27"/>
      <c r="AM12" s="27"/>
      <c r="AN12" s="27"/>
      <c r="AO12" s="27"/>
      <c r="AP12" s="27"/>
      <c r="AQ12" s="26"/>
      <c r="AR12" s="26"/>
      <c r="AS12" s="26"/>
      <c r="AT12" s="26"/>
      <c r="AU12" s="26"/>
      <c r="AV12" s="25"/>
      <c r="AW12" s="25"/>
      <c r="AX12" s="25"/>
      <c r="AY12" s="25"/>
      <c r="AZ12" s="25"/>
      <c r="BA12" s="26"/>
      <c r="BB12" s="26"/>
      <c r="BC12" s="26"/>
      <c r="BD12" s="26"/>
      <c r="BE12" s="26"/>
      <c r="BF12" s="27"/>
      <c r="BG12" s="27"/>
      <c r="BH12" s="27"/>
      <c r="BI12" s="27"/>
      <c r="BJ12" s="27"/>
      <c r="BK12" s="26"/>
      <c r="BL12" s="26"/>
      <c r="BM12" s="26"/>
      <c r="BN12" s="26"/>
      <c r="BO12" s="28"/>
    </row>
    <row r="13" spans="1:67" ht="14.4">
      <c r="B13" s="19" t="s">
        <v>32</v>
      </c>
      <c r="C13" s="20">
        <v>43117</v>
      </c>
      <c r="D13" s="20">
        <v>43121</v>
      </c>
      <c r="E13" s="21">
        <f t="shared" si="0"/>
        <v>3</v>
      </c>
      <c r="F13" s="19" t="s">
        <v>33</v>
      </c>
      <c r="G13" s="33">
        <v>0.2</v>
      </c>
      <c r="H13" s="23"/>
      <c r="I13" s="24"/>
      <c r="J13" s="25"/>
      <c r="K13" s="25"/>
      <c r="L13" s="25"/>
      <c r="M13" s="26"/>
      <c r="N13" s="26"/>
      <c r="O13" s="26"/>
      <c r="P13" s="31"/>
      <c r="Q13" s="31"/>
      <c r="R13" s="31"/>
      <c r="S13" s="31"/>
      <c r="T13" s="31"/>
      <c r="U13" s="25"/>
      <c r="V13" s="25"/>
      <c r="W13" s="26"/>
      <c r="X13" s="26"/>
      <c r="Y13" s="26"/>
      <c r="Z13" s="26"/>
      <c r="AA13" s="26"/>
      <c r="AB13" s="27"/>
      <c r="AC13" s="27"/>
      <c r="AD13" s="27"/>
      <c r="AE13" s="27"/>
      <c r="AF13" s="27"/>
      <c r="AG13" s="26"/>
      <c r="AH13" s="26"/>
      <c r="AI13" s="26"/>
      <c r="AJ13" s="26"/>
      <c r="AK13" s="26"/>
      <c r="AL13" s="27"/>
      <c r="AM13" s="27"/>
      <c r="AN13" s="27"/>
      <c r="AO13" s="27"/>
      <c r="AP13" s="27"/>
      <c r="AQ13" s="26"/>
      <c r="AR13" s="26"/>
      <c r="AS13" s="26"/>
      <c r="AT13" s="26"/>
      <c r="AU13" s="26"/>
      <c r="AV13" s="25"/>
      <c r="AW13" s="25"/>
      <c r="AX13" s="25"/>
      <c r="AY13" s="25"/>
      <c r="AZ13" s="25"/>
      <c r="BA13" s="26"/>
      <c r="BB13" s="26"/>
      <c r="BC13" s="26"/>
      <c r="BD13" s="26"/>
      <c r="BE13" s="26"/>
      <c r="BF13" s="27"/>
      <c r="BG13" s="27"/>
      <c r="BH13" s="27"/>
      <c r="BI13" s="27"/>
      <c r="BJ13" s="27"/>
      <c r="BK13" s="26"/>
      <c r="BL13" s="26"/>
      <c r="BM13" s="26"/>
      <c r="BN13" s="26"/>
      <c r="BO13" s="28"/>
    </row>
    <row r="14" spans="1:67" ht="14.4">
      <c r="B14" s="19" t="s">
        <v>34</v>
      </c>
      <c r="C14" s="20">
        <v>43120</v>
      </c>
      <c r="D14" s="20">
        <v>43123</v>
      </c>
      <c r="E14" s="21">
        <f t="shared" si="0"/>
        <v>2</v>
      </c>
      <c r="F14" s="19" t="s">
        <v>35</v>
      </c>
      <c r="G14" s="34">
        <v>0.1</v>
      </c>
      <c r="H14" s="23"/>
      <c r="I14" s="24"/>
      <c r="J14" s="25"/>
      <c r="K14" s="25"/>
      <c r="L14" s="25"/>
      <c r="M14" s="26"/>
      <c r="N14" s="26"/>
      <c r="O14" s="26"/>
      <c r="P14" s="26"/>
      <c r="Q14" s="26"/>
      <c r="R14" s="25"/>
      <c r="S14" s="31"/>
      <c r="T14" s="31"/>
      <c r="U14" s="31"/>
      <c r="V14" s="25"/>
      <c r="W14" s="26"/>
      <c r="X14" s="26"/>
      <c r="Y14" s="26"/>
      <c r="Z14" s="26"/>
      <c r="AA14" s="26"/>
      <c r="AB14" s="27"/>
      <c r="AC14" s="27"/>
      <c r="AD14" s="27"/>
      <c r="AE14" s="27"/>
      <c r="AF14" s="27"/>
      <c r="AG14" s="26"/>
      <c r="AH14" s="26"/>
      <c r="AI14" s="26"/>
      <c r="AJ14" s="26"/>
      <c r="AK14" s="26"/>
      <c r="AL14" s="27"/>
      <c r="AM14" s="27"/>
      <c r="AN14" s="27"/>
      <c r="AO14" s="27"/>
      <c r="AP14" s="27"/>
      <c r="AQ14" s="26"/>
      <c r="AR14" s="26"/>
      <c r="AS14" s="26"/>
      <c r="AT14" s="26"/>
      <c r="AU14" s="26"/>
      <c r="AV14" s="25"/>
      <c r="AW14" s="25"/>
      <c r="AX14" s="25"/>
      <c r="AY14" s="25"/>
      <c r="AZ14" s="25"/>
      <c r="BA14" s="26"/>
      <c r="BB14" s="26"/>
      <c r="BC14" s="26"/>
      <c r="BD14" s="26"/>
      <c r="BE14" s="26"/>
      <c r="BF14" s="27"/>
      <c r="BG14" s="27"/>
      <c r="BH14" s="27"/>
      <c r="BI14" s="27"/>
      <c r="BJ14" s="27"/>
      <c r="BK14" s="26"/>
      <c r="BL14" s="26"/>
      <c r="BM14" s="26"/>
      <c r="BN14" s="26"/>
      <c r="BO14" s="28"/>
    </row>
    <row r="15" spans="1:67" ht="15.6">
      <c r="A15" s="14" t="s">
        <v>36</v>
      </c>
      <c r="B15" s="35"/>
      <c r="C15" s="121"/>
      <c r="D15" s="122"/>
      <c r="E15" s="122"/>
      <c r="F15" s="122"/>
      <c r="G15" s="122"/>
      <c r="H15" s="36"/>
      <c r="I15" s="37"/>
      <c r="J15" s="38"/>
      <c r="K15" s="38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</row>
    <row r="16" spans="1:67" ht="14.4">
      <c r="B16" s="19" t="s">
        <v>37</v>
      </c>
      <c r="C16" s="39">
        <v>43136</v>
      </c>
      <c r="D16" s="39">
        <v>43139</v>
      </c>
      <c r="E16" s="21">
        <f>NETWORKDAYS(C16,D16)</f>
        <v>4</v>
      </c>
      <c r="F16" s="19" t="s">
        <v>26</v>
      </c>
      <c r="G16" s="40">
        <v>1</v>
      </c>
      <c r="H16" s="23"/>
      <c r="I16" s="24"/>
      <c r="J16" s="25"/>
      <c r="K16" s="25"/>
      <c r="L16" s="25"/>
      <c r="M16" s="26"/>
      <c r="N16" s="26"/>
      <c r="O16" s="26"/>
      <c r="P16" s="26"/>
      <c r="Q16" s="26"/>
      <c r="R16" s="25"/>
      <c r="S16" s="25"/>
      <c r="T16" s="25"/>
      <c r="U16" s="25"/>
      <c r="V16" s="25"/>
      <c r="W16" s="26"/>
      <c r="X16" s="26"/>
      <c r="Y16" s="26"/>
      <c r="Z16" s="26"/>
      <c r="AA16" s="26"/>
      <c r="AB16" s="27"/>
      <c r="AC16" s="27"/>
      <c r="AD16" s="27"/>
      <c r="AE16" s="27"/>
      <c r="AF16" s="27"/>
      <c r="AG16" s="26"/>
      <c r="AH16" s="26"/>
      <c r="AI16" s="26"/>
      <c r="AJ16" s="26"/>
      <c r="AK16" s="26"/>
      <c r="AL16" s="27"/>
      <c r="AM16" s="27"/>
      <c r="AN16" s="27"/>
      <c r="AO16" s="27"/>
      <c r="AP16" s="27"/>
      <c r="AQ16" s="26"/>
      <c r="AR16" s="26"/>
      <c r="AS16" s="26"/>
      <c r="AT16" s="26"/>
      <c r="AU16" s="26"/>
      <c r="AV16" s="25"/>
      <c r="AW16" s="25"/>
      <c r="AX16" s="25"/>
      <c r="AY16" s="25"/>
      <c r="AZ16" s="25"/>
      <c r="BA16" s="26"/>
      <c r="BB16" s="26"/>
      <c r="BC16" s="26"/>
      <c r="BD16" s="26"/>
      <c r="BE16" s="26"/>
      <c r="BF16" s="27"/>
      <c r="BG16" s="27"/>
      <c r="BH16" s="27"/>
      <c r="BI16" s="27"/>
      <c r="BJ16" s="27"/>
      <c r="BK16" s="26"/>
      <c r="BL16" s="26"/>
      <c r="BM16" s="26"/>
      <c r="BN16" s="26"/>
      <c r="BO16" s="28"/>
    </row>
    <row r="17" spans="1:67" ht="14.4">
      <c r="B17" s="19" t="s">
        <v>38</v>
      </c>
      <c r="C17" s="39">
        <v>43139</v>
      </c>
      <c r="D17" s="39">
        <v>43144</v>
      </c>
      <c r="E17" s="21">
        <f t="shared" ref="E17:E19" si="1">NETWORKDAYS(C17,D17)</f>
        <v>4</v>
      </c>
      <c r="F17" s="19" t="s">
        <v>27</v>
      </c>
      <c r="G17" s="41">
        <v>0.8</v>
      </c>
      <c r="H17" s="23"/>
      <c r="I17" s="24"/>
      <c r="J17" s="25"/>
      <c r="K17" s="25"/>
      <c r="L17" s="25"/>
      <c r="M17" s="26"/>
      <c r="N17" s="26"/>
      <c r="O17" s="26"/>
      <c r="P17" s="26"/>
      <c r="Q17" s="26"/>
      <c r="R17" s="25"/>
      <c r="S17" s="25"/>
      <c r="T17" s="25"/>
      <c r="U17" s="25"/>
      <c r="V17" s="25"/>
      <c r="W17" s="26"/>
      <c r="X17" s="26"/>
      <c r="Y17" s="26"/>
      <c r="Z17" s="26"/>
      <c r="AA17" s="26"/>
      <c r="AB17" s="27"/>
      <c r="AC17" s="27"/>
      <c r="AD17" s="27"/>
      <c r="AE17" s="27"/>
      <c r="AF17" s="27"/>
      <c r="AG17" s="26"/>
      <c r="AH17" s="26"/>
      <c r="AI17" s="26"/>
      <c r="AJ17" s="26"/>
      <c r="AK17" s="26"/>
      <c r="AL17" s="27"/>
      <c r="AM17" s="27"/>
      <c r="AN17" s="27"/>
      <c r="AO17" s="27"/>
      <c r="AP17" s="27"/>
      <c r="AQ17" s="26"/>
      <c r="AR17" s="26"/>
      <c r="AS17" s="26"/>
      <c r="AT17" s="26"/>
      <c r="AU17" s="26"/>
      <c r="AV17" s="25"/>
      <c r="AW17" s="25"/>
      <c r="AX17" s="25"/>
      <c r="AY17" s="25"/>
      <c r="AZ17" s="25"/>
      <c r="BA17" s="26"/>
      <c r="BB17" s="26"/>
      <c r="BC17" s="26"/>
      <c r="BD17" s="26"/>
      <c r="BE17" s="26"/>
      <c r="BF17" s="27"/>
      <c r="BG17" s="27"/>
      <c r="BH17" s="27"/>
      <c r="BI17" s="27"/>
      <c r="BJ17" s="27"/>
      <c r="BK17" s="26"/>
      <c r="BL17" s="26"/>
      <c r="BM17" s="26"/>
      <c r="BN17" s="26"/>
      <c r="BO17" s="28"/>
    </row>
    <row r="18" spans="1:67" ht="14.4">
      <c r="B18" s="19" t="s">
        <v>39</v>
      </c>
      <c r="C18" s="39">
        <v>43142</v>
      </c>
      <c r="D18" s="39">
        <v>43147</v>
      </c>
      <c r="E18" s="21">
        <f t="shared" si="1"/>
        <v>5</v>
      </c>
      <c r="F18" s="19" t="s">
        <v>31</v>
      </c>
      <c r="G18" s="42">
        <v>0.6</v>
      </c>
      <c r="H18" s="23"/>
      <c r="I18" s="24"/>
      <c r="J18" s="25"/>
      <c r="K18" s="25"/>
      <c r="L18" s="25"/>
      <c r="M18" s="26"/>
      <c r="N18" s="26"/>
      <c r="O18" s="26"/>
      <c r="P18" s="26"/>
      <c r="Q18" s="26"/>
      <c r="R18" s="25"/>
      <c r="S18" s="25"/>
      <c r="T18" s="25"/>
      <c r="U18" s="25"/>
      <c r="V18" s="25"/>
      <c r="W18" s="26"/>
      <c r="X18" s="26"/>
      <c r="Y18" s="26"/>
      <c r="Z18" s="26"/>
      <c r="AA18" s="26"/>
      <c r="AB18" s="27"/>
      <c r="AC18" s="27"/>
      <c r="AD18" s="27"/>
      <c r="AE18" s="27"/>
      <c r="AF18" s="27"/>
      <c r="AG18" s="26"/>
      <c r="AH18" s="26"/>
      <c r="AI18" s="26"/>
      <c r="AJ18" s="26"/>
      <c r="AK18" s="26"/>
      <c r="AL18" s="27"/>
      <c r="AM18" s="27"/>
      <c r="AN18" s="27"/>
      <c r="AO18" s="27"/>
      <c r="AP18" s="27"/>
      <c r="AQ18" s="26"/>
      <c r="AR18" s="26"/>
      <c r="AS18" s="26"/>
      <c r="AT18" s="26"/>
      <c r="AU18" s="26"/>
      <c r="AV18" s="25"/>
      <c r="AW18" s="25"/>
      <c r="AX18" s="25"/>
      <c r="AY18" s="25"/>
      <c r="AZ18" s="25"/>
      <c r="BA18" s="26"/>
      <c r="BB18" s="26"/>
      <c r="BC18" s="26"/>
      <c r="BD18" s="26"/>
      <c r="BE18" s="26"/>
      <c r="BF18" s="27"/>
      <c r="BG18" s="27"/>
      <c r="BH18" s="27"/>
      <c r="BI18" s="27"/>
      <c r="BJ18" s="27"/>
      <c r="BK18" s="26"/>
      <c r="BL18" s="26"/>
      <c r="BM18" s="26"/>
      <c r="BN18" s="26"/>
      <c r="BO18" s="28"/>
    </row>
    <row r="19" spans="1:67" ht="14.4">
      <c r="B19" s="19" t="s">
        <v>40</v>
      </c>
      <c r="C19" s="39">
        <v>43145</v>
      </c>
      <c r="D19" s="39">
        <v>43154</v>
      </c>
      <c r="E19" s="21">
        <f t="shared" si="1"/>
        <v>8</v>
      </c>
      <c r="F19" s="19" t="s">
        <v>35</v>
      </c>
      <c r="G19" s="42">
        <v>0.4</v>
      </c>
      <c r="H19" s="23"/>
      <c r="I19" s="24"/>
      <c r="J19" s="25"/>
      <c r="K19" s="25"/>
      <c r="L19" s="25"/>
      <c r="M19" s="26"/>
      <c r="N19" s="26"/>
      <c r="O19" s="26"/>
      <c r="P19" s="26"/>
      <c r="Q19" s="26"/>
      <c r="R19" s="25"/>
      <c r="S19" s="25"/>
      <c r="T19" s="25"/>
      <c r="U19" s="25"/>
      <c r="V19" s="25"/>
      <c r="W19" s="26"/>
      <c r="X19" s="26"/>
      <c r="Y19" s="26"/>
      <c r="Z19" s="26"/>
      <c r="AA19" s="26"/>
      <c r="AB19" s="27"/>
      <c r="AC19" s="27"/>
      <c r="AD19" s="27"/>
      <c r="AE19" s="27"/>
      <c r="AF19" s="27"/>
      <c r="AG19" s="26"/>
      <c r="AH19" s="26"/>
      <c r="AI19" s="26"/>
      <c r="AJ19" s="26"/>
      <c r="AK19" s="26"/>
      <c r="AL19" s="27"/>
      <c r="AM19" s="27"/>
      <c r="AN19" s="27"/>
      <c r="AO19" s="27"/>
      <c r="AP19" s="27"/>
      <c r="AQ19" s="26"/>
      <c r="AR19" s="26"/>
      <c r="AS19" s="26"/>
      <c r="AT19" s="26"/>
      <c r="AU19" s="26"/>
      <c r="AV19" s="25"/>
      <c r="AW19" s="25"/>
      <c r="AX19" s="25"/>
      <c r="AY19" s="25"/>
      <c r="AZ19" s="25"/>
      <c r="BA19" s="26"/>
      <c r="BB19" s="26"/>
      <c r="BC19" s="26"/>
      <c r="BD19" s="26"/>
      <c r="BE19" s="26"/>
      <c r="BF19" s="27"/>
      <c r="BG19" s="27"/>
      <c r="BH19" s="27"/>
      <c r="BI19" s="27"/>
      <c r="BJ19" s="27"/>
      <c r="BK19" s="26"/>
      <c r="BL19" s="26"/>
      <c r="BM19" s="26"/>
      <c r="BN19" s="26"/>
      <c r="BO19" s="28"/>
    </row>
    <row r="20" spans="1:67" ht="15.6">
      <c r="A20" s="14" t="s">
        <v>41</v>
      </c>
      <c r="B20" s="35"/>
      <c r="C20" s="121"/>
      <c r="D20" s="122"/>
      <c r="E20" s="122"/>
      <c r="F20" s="122"/>
      <c r="G20" s="122"/>
      <c r="H20" s="36"/>
      <c r="I20" s="37"/>
      <c r="J20" s="38"/>
      <c r="K20" s="38"/>
      <c r="L20" s="36"/>
      <c r="M20" s="43"/>
      <c r="N20" s="43"/>
      <c r="O20" s="43"/>
      <c r="P20" s="43"/>
      <c r="Q20" s="43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</row>
    <row r="21" spans="1:67" ht="14.4">
      <c r="B21" s="19" t="s">
        <v>42</v>
      </c>
      <c r="C21" s="39">
        <v>43164</v>
      </c>
      <c r="D21" s="39">
        <v>43167</v>
      </c>
      <c r="E21" s="21">
        <f>NETWORKDAYS(C21,D21)</f>
        <v>4</v>
      </c>
      <c r="F21" s="19" t="s">
        <v>33</v>
      </c>
      <c r="G21" s="42">
        <v>1</v>
      </c>
      <c r="H21" s="23"/>
      <c r="I21" s="24"/>
      <c r="J21" s="25"/>
      <c r="K21" s="25"/>
      <c r="L21" s="25"/>
      <c r="M21" s="26"/>
      <c r="N21" s="26"/>
      <c r="O21" s="26"/>
      <c r="P21" s="26"/>
      <c r="Q21" s="26"/>
      <c r="R21" s="25"/>
      <c r="S21" s="25"/>
      <c r="T21" s="25"/>
      <c r="U21" s="25"/>
      <c r="V21" s="25"/>
      <c r="W21" s="26"/>
      <c r="X21" s="26"/>
      <c r="Y21" s="26"/>
      <c r="Z21" s="26"/>
      <c r="AA21" s="26"/>
      <c r="AB21" s="27"/>
      <c r="AC21" s="27"/>
      <c r="AD21" s="27"/>
      <c r="AE21" s="27"/>
      <c r="AF21" s="27"/>
      <c r="AG21" s="26"/>
      <c r="AH21" s="26"/>
      <c r="AI21" s="26"/>
      <c r="AJ21" s="26"/>
      <c r="AK21" s="26"/>
      <c r="AL21" s="27"/>
      <c r="AM21" s="27"/>
      <c r="AN21" s="27"/>
      <c r="AO21" s="27"/>
      <c r="AP21" s="27"/>
      <c r="AQ21" s="26"/>
      <c r="AR21" s="26"/>
      <c r="AS21" s="26"/>
      <c r="AT21" s="26"/>
      <c r="AU21" s="26"/>
      <c r="AV21" s="25"/>
      <c r="AW21" s="25"/>
      <c r="AX21" s="25"/>
      <c r="AY21" s="25"/>
      <c r="AZ21" s="25"/>
      <c r="BA21" s="26"/>
      <c r="BB21" s="26"/>
      <c r="BC21" s="26"/>
      <c r="BD21" s="26"/>
      <c r="BE21" s="26"/>
      <c r="BF21" s="27"/>
      <c r="BG21" s="27"/>
      <c r="BH21" s="27"/>
      <c r="BI21" s="27"/>
      <c r="BJ21" s="27"/>
      <c r="BK21" s="26"/>
      <c r="BL21" s="26"/>
      <c r="BM21" s="26"/>
      <c r="BN21" s="26"/>
      <c r="BO21" s="28"/>
    </row>
    <row r="22" spans="1:67" ht="28.8">
      <c r="B22" s="19" t="s">
        <v>43</v>
      </c>
      <c r="C22" s="39">
        <v>43167</v>
      </c>
      <c r="D22" s="39">
        <v>43172</v>
      </c>
      <c r="E22" s="21">
        <f t="shared" ref="E22:E26" si="2">NETWORKDAYS(C22,D22)</f>
        <v>4</v>
      </c>
      <c r="F22" s="19" t="s">
        <v>31</v>
      </c>
      <c r="G22" s="42">
        <v>0.8</v>
      </c>
      <c r="H22" s="23"/>
      <c r="I22" s="24"/>
      <c r="J22" s="25"/>
      <c r="K22" s="25"/>
      <c r="L22" s="25"/>
      <c r="M22" s="26"/>
      <c r="N22" s="26"/>
      <c r="O22" s="26"/>
      <c r="P22" s="26"/>
      <c r="Q22" s="26"/>
      <c r="R22" s="25"/>
      <c r="S22" s="25"/>
      <c r="T22" s="25"/>
      <c r="U22" s="25"/>
      <c r="V22" s="25"/>
      <c r="W22" s="26"/>
      <c r="X22" s="26"/>
      <c r="Y22" s="26"/>
      <c r="Z22" s="26"/>
      <c r="AA22" s="26"/>
      <c r="AB22" s="27"/>
      <c r="AC22" s="27"/>
      <c r="AD22" s="27"/>
      <c r="AE22" s="27"/>
      <c r="AF22" s="27"/>
      <c r="AG22" s="26"/>
      <c r="AH22" s="26"/>
      <c r="AI22" s="26"/>
      <c r="AJ22" s="26"/>
      <c r="AK22" s="26"/>
      <c r="AL22" s="27"/>
      <c r="AM22" s="27"/>
      <c r="AN22" s="27"/>
      <c r="AO22" s="27"/>
      <c r="AP22" s="27"/>
      <c r="AQ22" s="26"/>
      <c r="AR22" s="26"/>
      <c r="AS22" s="26"/>
      <c r="AT22" s="26"/>
      <c r="AU22" s="26"/>
      <c r="AV22" s="25"/>
      <c r="AW22" s="25"/>
      <c r="AX22" s="25"/>
      <c r="AY22" s="25"/>
      <c r="AZ22" s="25"/>
      <c r="BA22" s="26"/>
      <c r="BB22" s="26"/>
      <c r="BC22" s="26"/>
      <c r="BD22" s="26"/>
      <c r="BE22" s="26"/>
      <c r="BF22" s="27"/>
      <c r="BG22" s="27"/>
      <c r="BH22" s="27"/>
      <c r="BI22" s="27"/>
      <c r="BJ22" s="27"/>
      <c r="BK22" s="26"/>
      <c r="BL22" s="26"/>
      <c r="BM22" s="26"/>
      <c r="BN22" s="26"/>
      <c r="BO22" s="28"/>
    </row>
    <row r="23" spans="1:67" ht="14.4">
      <c r="B23" s="19" t="s">
        <v>44</v>
      </c>
      <c r="C23" s="39">
        <v>43170</v>
      </c>
      <c r="D23" s="39">
        <v>43175</v>
      </c>
      <c r="E23" s="21">
        <f t="shared" si="2"/>
        <v>5</v>
      </c>
      <c r="F23" s="19" t="s">
        <v>29</v>
      </c>
      <c r="G23" s="42">
        <v>0.6</v>
      </c>
      <c r="H23" s="23"/>
      <c r="I23" s="24"/>
      <c r="J23" s="25"/>
      <c r="K23" s="25"/>
      <c r="L23" s="25"/>
      <c r="M23" s="26"/>
      <c r="N23" s="26"/>
      <c r="O23" s="26"/>
      <c r="P23" s="26"/>
      <c r="Q23" s="26"/>
      <c r="R23" s="25"/>
      <c r="S23" s="25"/>
      <c r="T23" s="25"/>
      <c r="U23" s="25"/>
      <c r="V23" s="25"/>
      <c r="W23" s="26"/>
      <c r="X23" s="26"/>
      <c r="Y23" s="26"/>
      <c r="Z23" s="26"/>
      <c r="AA23" s="26"/>
      <c r="AB23" s="27"/>
      <c r="AC23" s="27"/>
      <c r="AD23" s="27"/>
      <c r="AE23" s="27"/>
      <c r="AF23" s="27"/>
      <c r="AG23" s="26"/>
      <c r="AH23" s="26"/>
      <c r="AI23" s="26"/>
      <c r="AJ23" s="26"/>
      <c r="AK23" s="26"/>
      <c r="AL23" s="27"/>
      <c r="AM23" s="27"/>
      <c r="AN23" s="27"/>
      <c r="AO23" s="27"/>
      <c r="AP23" s="27"/>
      <c r="AQ23" s="26"/>
      <c r="AR23" s="26"/>
      <c r="AS23" s="26"/>
      <c r="AT23" s="26"/>
      <c r="AU23" s="26"/>
      <c r="AV23" s="25"/>
      <c r="AW23" s="25"/>
      <c r="AX23" s="25"/>
      <c r="AY23" s="25"/>
      <c r="AZ23" s="25"/>
      <c r="BA23" s="26"/>
      <c r="BB23" s="26"/>
      <c r="BC23" s="26"/>
      <c r="BD23" s="26"/>
      <c r="BE23" s="26"/>
      <c r="BF23" s="27"/>
      <c r="BG23" s="27"/>
      <c r="BH23" s="27"/>
      <c r="BI23" s="27"/>
      <c r="BJ23" s="27"/>
      <c r="BK23" s="26"/>
      <c r="BL23" s="26"/>
      <c r="BM23" s="26"/>
      <c r="BN23" s="26"/>
      <c r="BO23" s="28"/>
    </row>
    <row r="24" spans="1:67" ht="14.4">
      <c r="B24" s="19" t="s">
        <v>45</v>
      </c>
      <c r="C24" s="39">
        <v>43173</v>
      </c>
      <c r="D24" s="39">
        <v>43178</v>
      </c>
      <c r="E24" s="21">
        <f t="shared" si="2"/>
        <v>4</v>
      </c>
      <c r="F24" s="19" t="s">
        <v>27</v>
      </c>
      <c r="G24" s="42">
        <v>0.4</v>
      </c>
      <c r="H24" s="23"/>
      <c r="I24" s="24"/>
      <c r="J24" s="25"/>
      <c r="K24" s="25"/>
      <c r="L24" s="25"/>
      <c r="M24" s="26"/>
      <c r="N24" s="26"/>
      <c r="O24" s="26"/>
      <c r="P24" s="26"/>
      <c r="Q24" s="26"/>
      <c r="R24" s="25"/>
      <c r="S24" s="25"/>
      <c r="T24" s="25"/>
      <c r="U24" s="25"/>
      <c r="V24" s="25"/>
      <c r="W24" s="26"/>
      <c r="X24" s="26"/>
      <c r="Y24" s="26"/>
      <c r="Z24" s="26"/>
      <c r="AA24" s="26"/>
      <c r="AB24" s="27"/>
      <c r="AC24" s="27"/>
      <c r="AD24" s="27"/>
      <c r="AE24" s="27"/>
      <c r="AF24" s="27"/>
      <c r="AG24" s="26"/>
      <c r="AH24" s="26"/>
      <c r="AI24" s="26"/>
      <c r="AJ24" s="26"/>
      <c r="AK24" s="26"/>
      <c r="AL24" s="27"/>
      <c r="AM24" s="27"/>
      <c r="AN24" s="27"/>
      <c r="AO24" s="27"/>
      <c r="AP24" s="27"/>
      <c r="AQ24" s="26"/>
      <c r="AR24" s="26"/>
      <c r="AS24" s="26"/>
      <c r="AT24" s="26"/>
      <c r="AU24" s="26"/>
      <c r="AV24" s="25"/>
      <c r="AW24" s="25"/>
      <c r="AX24" s="25"/>
      <c r="AY24" s="25"/>
      <c r="AZ24" s="25"/>
      <c r="BA24" s="26"/>
      <c r="BB24" s="26"/>
      <c r="BC24" s="26"/>
      <c r="BD24" s="26"/>
      <c r="BE24" s="26"/>
      <c r="BF24" s="27"/>
      <c r="BG24" s="27"/>
      <c r="BH24" s="27"/>
      <c r="BI24" s="27"/>
      <c r="BJ24" s="27"/>
      <c r="BK24" s="26"/>
      <c r="BL24" s="26"/>
      <c r="BM24" s="26"/>
      <c r="BN24" s="26"/>
      <c r="BO24" s="28"/>
    </row>
    <row r="25" spans="1:67" ht="14.4">
      <c r="B25" s="19" t="s">
        <v>46</v>
      </c>
      <c r="C25" s="39">
        <v>43176</v>
      </c>
      <c r="D25" s="39">
        <v>43180</v>
      </c>
      <c r="E25" s="21">
        <f t="shared" si="2"/>
        <v>3</v>
      </c>
      <c r="F25" s="19" t="s">
        <v>35</v>
      </c>
      <c r="G25" s="42">
        <v>0.2</v>
      </c>
      <c r="H25" s="23"/>
      <c r="I25" s="24"/>
      <c r="J25" s="25"/>
      <c r="K25" s="25"/>
      <c r="L25" s="25"/>
      <c r="M25" s="26"/>
      <c r="N25" s="26"/>
      <c r="O25" s="26"/>
      <c r="P25" s="26"/>
      <c r="Q25" s="26"/>
      <c r="R25" s="25"/>
      <c r="S25" s="25"/>
      <c r="T25" s="25"/>
      <c r="U25" s="25"/>
      <c r="V25" s="25"/>
      <c r="W25" s="26"/>
      <c r="X25" s="26"/>
      <c r="Y25" s="26"/>
      <c r="Z25" s="26"/>
      <c r="AA25" s="26"/>
      <c r="AB25" s="27"/>
      <c r="AC25" s="27"/>
      <c r="AD25" s="27"/>
      <c r="AE25" s="27"/>
      <c r="AF25" s="27"/>
      <c r="AG25" s="26"/>
      <c r="AH25" s="26"/>
      <c r="AI25" s="26"/>
      <c r="AJ25" s="26"/>
      <c r="AK25" s="26"/>
      <c r="AL25" s="27"/>
      <c r="AM25" s="27"/>
      <c r="AN25" s="27"/>
      <c r="AO25" s="27"/>
      <c r="AP25" s="27"/>
      <c r="AQ25" s="26"/>
      <c r="AR25" s="26"/>
      <c r="AS25" s="26"/>
      <c r="AT25" s="26"/>
      <c r="AU25" s="26"/>
      <c r="AV25" s="25"/>
      <c r="AW25" s="25"/>
      <c r="AX25" s="25"/>
      <c r="AY25" s="25"/>
      <c r="AZ25" s="25"/>
      <c r="BA25" s="26"/>
      <c r="BB25" s="26"/>
      <c r="BC25" s="26"/>
      <c r="BD25" s="26"/>
      <c r="BE25" s="26"/>
      <c r="BF25" s="27"/>
      <c r="BG25" s="27"/>
      <c r="BH25" s="27"/>
      <c r="BI25" s="27"/>
      <c r="BJ25" s="27"/>
      <c r="BK25" s="26"/>
      <c r="BL25" s="26"/>
      <c r="BM25" s="26"/>
      <c r="BN25" s="26"/>
      <c r="BO25" s="28"/>
    </row>
    <row r="26" spans="1:67" ht="14.4">
      <c r="B26" s="19" t="s">
        <v>47</v>
      </c>
      <c r="C26" s="39">
        <v>43179</v>
      </c>
      <c r="D26" s="39">
        <v>43184</v>
      </c>
      <c r="E26" s="21">
        <f t="shared" si="2"/>
        <v>4</v>
      </c>
      <c r="F26" s="19" t="s">
        <v>26</v>
      </c>
      <c r="G26" s="42">
        <v>0.1</v>
      </c>
      <c r="H26" s="23"/>
      <c r="I26" s="24"/>
      <c r="J26" s="25"/>
      <c r="K26" s="25"/>
      <c r="L26" s="25"/>
      <c r="M26" s="26"/>
      <c r="N26" s="26"/>
      <c r="O26" s="26"/>
      <c r="P26" s="26"/>
      <c r="Q26" s="26"/>
      <c r="R26" s="25"/>
      <c r="S26" s="25"/>
      <c r="T26" s="25"/>
      <c r="U26" s="25"/>
      <c r="V26" s="25"/>
      <c r="W26" s="26"/>
      <c r="X26" s="26"/>
      <c r="Y26" s="26"/>
      <c r="Z26" s="26"/>
      <c r="AA26" s="26"/>
      <c r="AB26" s="27"/>
      <c r="AC26" s="27"/>
      <c r="AD26" s="27"/>
      <c r="AE26" s="27"/>
      <c r="AF26" s="27"/>
      <c r="AG26" s="26"/>
      <c r="AH26" s="26"/>
      <c r="AI26" s="26"/>
      <c r="AJ26" s="26"/>
      <c r="AK26" s="26"/>
      <c r="AL26" s="27"/>
      <c r="AM26" s="27"/>
      <c r="AN26" s="27"/>
      <c r="AO26" s="27"/>
      <c r="AP26" s="27"/>
      <c r="AQ26" s="26"/>
      <c r="AR26" s="26"/>
      <c r="AS26" s="26"/>
      <c r="AT26" s="26"/>
      <c r="AU26" s="26"/>
      <c r="AV26" s="25"/>
      <c r="AW26" s="25"/>
      <c r="AX26" s="25"/>
      <c r="AY26" s="25"/>
      <c r="AZ26" s="25"/>
      <c r="BA26" s="26"/>
      <c r="BB26" s="26"/>
      <c r="BC26" s="26"/>
      <c r="BD26" s="26"/>
      <c r="BE26" s="26"/>
      <c r="BF26" s="27"/>
      <c r="BG26" s="27"/>
      <c r="BH26" s="27"/>
      <c r="BI26" s="27"/>
      <c r="BJ26" s="27"/>
      <c r="BK26" s="26"/>
      <c r="BL26" s="26"/>
      <c r="BM26" s="26"/>
      <c r="BN26" s="26"/>
      <c r="BO26" s="28"/>
    </row>
    <row r="27" spans="1:67" ht="15.6">
      <c r="A27" s="14" t="s">
        <v>48</v>
      </c>
      <c r="B27" s="35"/>
      <c r="C27" s="121"/>
      <c r="D27" s="122"/>
      <c r="E27" s="122"/>
      <c r="F27" s="122"/>
      <c r="G27" s="122"/>
      <c r="H27" s="36"/>
      <c r="I27" s="37"/>
      <c r="J27" s="38"/>
      <c r="K27" s="38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</row>
    <row r="28" spans="1:67" ht="14.4">
      <c r="B28" s="19" t="s">
        <v>50</v>
      </c>
      <c r="C28" s="39">
        <v>43195</v>
      </c>
      <c r="D28" s="39">
        <v>43198</v>
      </c>
      <c r="E28" s="21">
        <f>NETWORKDAYS(C28,D28)</f>
        <v>2</v>
      </c>
      <c r="F28" s="19" t="s">
        <v>26</v>
      </c>
      <c r="G28" s="42">
        <v>1</v>
      </c>
      <c r="H28" s="23"/>
      <c r="I28" s="24"/>
      <c r="J28" s="25"/>
      <c r="K28" s="25"/>
      <c r="L28" s="25"/>
      <c r="M28" s="26"/>
      <c r="N28" s="26"/>
      <c r="O28" s="26"/>
      <c r="P28" s="26"/>
      <c r="Q28" s="26"/>
      <c r="R28" s="25"/>
      <c r="S28" s="25"/>
      <c r="T28" s="25"/>
      <c r="U28" s="25"/>
      <c r="V28" s="25"/>
      <c r="W28" s="26"/>
      <c r="X28" s="26"/>
      <c r="Y28" s="26"/>
      <c r="Z28" s="26"/>
      <c r="AA28" s="26"/>
      <c r="AB28" s="27"/>
      <c r="AC28" s="27"/>
      <c r="AD28" s="27"/>
      <c r="AE28" s="27"/>
      <c r="AF28" s="27"/>
      <c r="AG28" s="26"/>
      <c r="AH28" s="26"/>
      <c r="AI28" s="26"/>
      <c r="AJ28" s="26"/>
      <c r="AK28" s="26"/>
      <c r="AL28" s="27"/>
      <c r="AM28" s="27"/>
      <c r="AN28" s="27"/>
      <c r="AO28" s="27"/>
      <c r="AP28" s="27"/>
      <c r="AQ28" s="26"/>
      <c r="AR28" s="26"/>
      <c r="AS28" s="26"/>
      <c r="AT28" s="26"/>
      <c r="AU28" s="26"/>
      <c r="AV28" s="25"/>
      <c r="AW28" s="25"/>
      <c r="AX28" s="25"/>
      <c r="AY28" s="25"/>
      <c r="AZ28" s="25"/>
      <c r="BA28" s="26"/>
      <c r="BB28" s="26"/>
      <c r="BC28" s="26"/>
      <c r="BD28" s="26"/>
      <c r="BE28" s="26"/>
      <c r="BF28" s="27"/>
      <c r="BG28" s="27"/>
      <c r="BH28" s="27"/>
      <c r="BI28" s="27"/>
      <c r="BJ28" s="27"/>
      <c r="BK28" s="26"/>
      <c r="BL28" s="26"/>
      <c r="BM28" s="26"/>
      <c r="BN28" s="26"/>
      <c r="BO28" s="28"/>
    </row>
    <row r="29" spans="1:67" ht="14.4">
      <c r="B29" s="19" t="s">
        <v>52</v>
      </c>
      <c r="C29" s="39">
        <v>43198</v>
      </c>
      <c r="D29" s="39">
        <v>43200</v>
      </c>
      <c r="E29" s="21">
        <f t="shared" ref="E29:E31" si="3">NETWORKDAYS(C29,D29)</f>
        <v>2</v>
      </c>
      <c r="F29" s="19" t="s">
        <v>27</v>
      </c>
      <c r="G29" s="42">
        <v>0.8</v>
      </c>
      <c r="H29" s="23"/>
      <c r="I29" s="24"/>
      <c r="J29" s="25"/>
      <c r="K29" s="25"/>
      <c r="L29" s="25"/>
      <c r="M29" s="26"/>
      <c r="N29" s="26"/>
      <c r="O29" s="26"/>
      <c r="P29" s="26"/>
      <c r="Q29" s="26"/>
      <c r="R29" s="25"/>
      <c r="S29" s="25"/>
      <c r="T29" s="25"/>
      <c r="U29" s="25"/>
      <c r="V29" s="25"/>
      <c r="W29" s="26"/>
      <c r="X29" s="26"/>
      <c r="Y29" s="26"/>
      <c r="Z29" s="26"/>
      <c r="AA29" s="26"/>
      <c r="AB29" s="27"/>
      <c r="AC29" s="27"/>
      <c r="AD29" s="27"/>
      <c r="AE29" s="27"/>
      <c r="AF29" s="27"/>
      <c r="AG29" s="26"/>
      <c r="AH29" s="26"/>
      <c r="AI29" s="26"/>
      <c r="AJ29" s="26"/>
      <c r="AK29" s="26"/>
      <c r="AL29" s="27"/>
      <c r="AM29" s="27"/>
      <c r="AN29" s="27"/>
      <c r="AO29" s="27"/>
      <c r="AP29" s="27"/>
      <c r="AQ29" s="26"/>
      <c r="AR29" s="26"/>
      <c r="AS29" s="26"/>
      <c r="AT29" s="26"/>
      <c r="AU29" s="26"/>
      <c r="AV29" s="25"/>
      <c r="AW29" s="25"/>
      <c r="AX29" s="25"/>
      <c r="AY29" s="25"/>
      <c r="AZ29" s="25"/>
      <c r="BA29" s="26"/>
      <c r="BB29" s="26"/>
      <c r="BC29" s="26"/>
      <c r="BD29" s="26"/>
      <c r="BE29" s="26"/>
      <c r="BF29" s="27"/>
      <c r="BG29" s="27"/>
      <c r="BH29" s="27"/>
      <c r="BI29" s="27"/>
      <c r="BJ29" s="27"/>
      <c r="BK29" s="26"/>
      <c r="BL29" s="26"/>
      <c r="BM29" s="26"/>
      <c r="BN29" s="26"/>
      <c r="BO29" s="28"/>
    </row>
    <row r="30" spans="1:67" ht="14.4">
      <c r="B30" s="19" t="s">
        <v>56</v>
      </c>
      <c r="C30" s="39">
        <v>43201</v>
      </c>
      <c r="D30" s="39">
        <v>43206</v>
      </c>
      <c r="E30" s="21">
        <f t="shared" si="3"/>
        <v>4</v>
      </c>
      <c r="F30" s="19" t="s">
        <v>31</v>
      </c>
      <c r="G30" s="42">
        <v>0.6</v>
      </c>
      <c r="H30" s="23"/>
      <c r="I30" s="24"/>
      <c r="J30" s="25"/>
      <c r="K30" s="25"/>
      <c r="L30" s="25"/>
      <c r="M30" s="26"/>
      <c r="N30" s="26"/>
      <c r="O30" s="26"/>
      <c r="P30" s="26"/>
      <c r="Q30" s="26"/>
      <c r="R30" s="25"/>
      <c r="S30" s="25"/>
      <c r="T30" s="25"/>
      <c r="U30" s="25"/>
      <c r="V30" s="25"/>
      <c r="W30" s="26"/>
      <c r="X30" s="26"/>
      <c r="Y30" s="26"/>
      <c r="Z30" s="26"/>
      <c r="AA30" s="26"/>
      <c r="AB30" s="27"/>
      <c r="AC30" s="27"/>
      <c r="AD30" s="27"/>
      <c r="AE30" s="27"/>
      <c r="AF30" s="27"/>
      <c r="AG30" s="26"/>
      <c r="AH30" s="26"/>
      <c r="AI30" s="26"/>
      <c r="AJ30" s="26"/>
      <c r="AK30" s="26"/>
      <c r="AL30" s="27"/>
      <c r="AM30" s="27"/>
      <c r="AN30" s="27"/>
      <c r="AO30" s="27"/>
      <c r="AP30" s="27"/>
      <c r="AQ30" s="26"/>
      <c r="AR30" s="26"/>
      <c r="AS30" s="26"/>
      <c r="AT30" s="26"/>
      <c r="AU30" s="26"/>
      <c r="AV30" s="25"/>
      <c r="AW30" s="25"/>
      <c r="AX30" s="25"/>
      <c r="AY30" s="25"/>
      <c r="AZ30" s="25"/>
      <c r="BA30" s="26"/>
      <c r="BB30" s="26"/>
      <c r="BC30" s="26"/>
      <c r="BD30" s="26"/>
      <c r="BE30" s="26"/>
      <c r="BF30" s="27"/>
      <c r="BG30" s="27"/>
      <c r="BH30" s="27"/>
      <c r="BI30" s="27"/>
      <c r="BJ30" s="27"/>
      <c r="BK30" s="26"/>
      <c r="BL30" s="26"/>
      <c r="BM30" s="26"/>
      <c r="BN30" s="26"/>
      <c r="BO30" s="28"/>
    </row>
    <row r="31" spans="1:67" ht="14.4">
      <c r="B31" s="19" t="s">
        <v>57</v>
      </c>
      <c r="C31" s="39">
        <v>43204</v>
      </c>
      <c r="D31" s="39">
        <v>43208</v>
      </c>
      <c r="E31" s="21">
        <f t="shared" si="3"/>
        <v>3</v>
      </c>
      <c r="F31" s="19" t="s">
        <v>33</v>
      </c>
      <c r="G31" s="42">
        <v>0.4</v>
      </c>
      <c r="H31" s="23"/>
      <c r="I31" s="24"/>
      <c r="J31" s="25"/>
      <c r="K31" s="25"/>
      <c r="L31" s="25"/>
      <c r="M31" s="26"/>
      <c r="N31" s="26"/>
      <c r="O31" s="26"/>
      <c r="P31" s="26"/>
      <c r="Q31" s="26"/>
      <c r="R31" s="25"/>
      <c r="S31" s="25"/>
      <c r="T31" s="25"/>
      <c r="U31" s="25"/>
      <c r="V31" s="25"/>
      <c r="W31" s="26"/>
      <c r="X31" s="26"/>
      <c r="Y31" s="26"/>
      <c r="Z31" s="26"/>
      <c r="AA31" s="26"/>
      <c r="AB31" s="27"/>
      <c r="AC31" s="27"/>
      <c r="AD31" s="27"/>
      <c r="AE31" s="27"/>
      <c r="AF31" s="27"/>
      <c r="AG31" s="26"/>
      <c r="AH31" s="26"/>
      <c r="AI31" s="26"/>
      <c r="AJ31" s="26"/>
      <c r="AK31" s="26"/>
      <c r="AL31" s="27"/>
      <c r="AM31" s="27"/>
      <c r="AN31" s="27"/>
      <c r="AO31" s="27"/>
      <c r="AP31" s="27"/>
      <c r="AQ31" s="26"/>
      <c r="AR31" s="26"/>
      <c r="AS31" s="26"/>
      <c r="AT31" s="26"/>
      <c r="AU31" s="26"/>
      <c r="AV31" s="25"/>
      <c r="AW31" s="25"/>
      <c r="AX31" s="25"/>
      <c r="AY31" s="25"/>
      <c r="AZ31" s="25"/>
      <c r="BA31" s="26"/>
      <c r="BB31" s="26"/>
      <c r="BC31" s="26"/>
      <c r="BD31" s="26"/>
      <c r="BE31" s="26"/>
      <c r="BF31" s="27"/>
      <c r="BG31" s="27"/>
      <c r="BH31" s="27"/>
      <c r="BI31" s="27"/>
      <c r="BJ31" s="27"/>
      <c r="BK31" s="26"/>
      <c r="BL31" s="26"/>
      <c r="BM31" s="26"/>
      <c r="BN31" s="26"/>
      <c r="BO31" s="28"/>
    </row>
    <row r="32" spans="1:67" ht="15.75" customHeight="1">
      <c r="A32" s="51"/>
      <c r="B32" s="2"/>
      <c r="C32" s="2"/>
      <c r="D32" s="2"/>
      <c r="E32" s="2"/>
      <c r="F32" s="2"/>
      <c r="G32" s="2"/>
    </row>
    <row r="33" spans="1:7" ht="15.75" customHeight="1">
      <c r="A33" s="51"/>
      <c r="B33" s="2"/>
      <c r="C33" s="2"/>
      <c r="D33" s="2"/>
      <c r="E33" s="2"/>
      <c r="F33" s="2"/>
      <c r="G33" s="2"/>
    </row>
    <row r="34" spans="1:7" ht="15.75" customHeight="1">
      <c r="A34" s="51"/>
      <c r="B34" s="2"/>
      <c r="C34" s="2"/>
      <c r="D34" s="2"/>
      <c r="E34" s="2"/>
      <c r="F34" s="2"/>
      <c r="G34" s="2"/>
    </row>
    <row r="35" spans="1:7" ht="15.75" customHeight="1">
      <c r="A35" s="53"/>
    </row>
    <row r="36" spans="1:7" ht="13.2">
      <c r="A36" s="53"/>
    </row>
    <row r="37" spans="1:7" ht="13.2">
      <c r="A37" s="53"/>
    </row>
    <row r="38" spans="1:7" ht="13.2">
      <c r="A38" s="53"/>
    </row>
    <row r="39" spans="1:7" ht="13.2">
      <c r="A39" s="53"/>
    </row>
    <row r="40" spans="1:7" ht="13.2">
      <c r="A40" s="53"/>
    </row>
    <row r="41" spans="1:7" ht="13.2">
      <c r="A41" s="53"/>
    </row>
    <row r="42" spans="1:7" ht="13.2">
      <c r="A42" s="53"/>
    </row>
    <row r="43" spans="1:7" ht="13.2">
      <c r="A43" s="53"/>
    </row>
    <row r="44" spans="1:7" ht="13.2">
      <c r="A44" s="53"/>
    </row>
    <row r="45" spans="1:7" ht="13.2">
      <c r="A45" s="53"/>
    </row>
    <row r="46" spans="1:7" ht="13.2">
      <c r="A46" s="53"/>
    </row>
    <row r="47" spans="1:7" ht="13.2">
      <c r="A47" s="53"/>
    </row>
    <row r="48" spans="1:7" ht="13.2">
      <c r="A48" s="53"/>
    </row>
    <row r="49" spans="1:1" ht="13.2">
      <c r="A49" s="53"/>
    </row>
    <row r="50" spans="1:1" ht="13.2">
      <c r="A50" s="53"/>
    </row>
    <row r="51" spans="1:1" ht="13.2">
      <c r="A51" s="53"/>
    </row>
    <row r="52" spans="1:1" ht="13.2">
      <c r="A52" s="53"/>
    </row>
    <row r="53" spans="1:1" ht="13.2">
      <c r="A53" s="53"/>
    </row>
    <row r="54" spans="1:1" ht="13.2">
      <c r="A54" s="53"/>
    </row>
    <row r="55" spans="1:1" ht="13.2">
      <c r="A55" s="53"/>
    </row>
    <row r="56" spans="1:1" ht="13.2">
      <c r="A56" s="53"/>
    </row>
    <row r="57" spans="1:1" ht="13.2">
      <c r="A57" s="53"/>
    </row>
    <row r="58" spans="1:1" ht="13.2">
      <c r="A58" s="53"/>
    </row>
    <row r="59" spans="1:1" ht="13.2">
      <c r="A59" s="53"/>
    </row>
    <row r="60" spans="1:1" ht="13.2">
      <c r="A60" s="53"/>
    </row>
    <row r="61" spans="1:1" ht="13.2">
      <c r="A61" s="53"/>
    </row>
    <row r="62" spans="1:1" ht="13.2">
      <c r="A62" s="53"/>
    </row>
    <row r="63" spans="1:1" ht="13.2">
      <c r="A63" s="53"/>
    </row>
    <row r="64" spans="1:1" ht="13.2">
      <c r="A64" s="53"/>
    </row>
    <row r="65" spans="1:1" ht="13.2">
      <c r="A65" s="53"/>
    </row>
    <row r="66" spans="1:1" ht="13.2">
      <c r="A66" s="53"/>
    </row>
    <row r="67" spans="1:1" ht="13.2">
      <c r="A67" s="53"/>
    </row>
    <row r="68" spans="1:1" ht="13.2">
      <c r="A68" s="53"/>
    </row>
    <row r="69" spans="1:1" ht="13.2">
      <c r="A69" s="53"/>
    </row>
    <row r="70" spans="1:1" ht="13.2">
      <c r="A70" s="53"/>
    </row>
    <row r="71" spans="1:1" ht="13.2">
      <c r="A71" s="53"/>
    </row>
    <row r="72" spans="1:1" ht="13.2">
      <c r="A72" s="53"/>
    </row>
    <row r="73" spans="1:1" ht="13.2">
      <c r="A73" s="53"/>
    </row>
    <row r="74" spans="1:1" ht="13.2">
      <c r="A74" s="53"/>
    </row>
    <row r="75" spans="1:1" ht="13.2">
      <c r="A75" s="53"/>
    </row>
    <row r="76" spans="1:1" ht="13.2">
      <c r="A76" s="53"/>
    </row>
    <row r="77" spans="1:1" ht="13.2">
      <c r="A77" s="53"/>
    </row>
    <row r="78" spans="1:1" ht="13.2">
      <c r="A78" s="53"/>
    </row>
    <row r="79" spans="1:1" ht="13.2">
      <c r="A79" s="53"/>
    </row>
    <row r="80" spans="1:1" ht="13.2">
      <c r="A80" s="53"/>
    </row>
    <row r="81" spans="1:1" ht="13.2">
      <c r="A81" s="53"/>
    </row>
    <row r="82" spans="1:1" ht="13.2">
      <c r="A82" s="53"/>
    </row>
    <row r="83" spans="1:1" ht="13.2">
      <c r="A83" s="53"/>
    </row>
    <row r="84" spans="1:1" ht="13.2">
      <c r="A84" s="53"/>
    </row>
    <row r="85" spans="1:1" ht="13.2">
      <c r="A85" s="53"/>
    </row>
    <row r="86" spans="1:1" ht="13.2">
      <c r="A86" s="53"/>
    </row>
    <row r="87" spans="1:1" ht="13.2">
      <c r="A87" s="53"/>
    </row>
    <row r="88" spans="1:1" ht="13.2">
      <c r="A88" s="53"/>
    </row>
    <row r="89" spans="1:1" ht="13.2">
      <c r="A89" s="53"/>
    </row>
    <row r="90" spans="1:1" ht="13.2">
      <c r="A90" s="53"/>
    </row>
    <row r="91" spans="1:1" ht="13.2">
      <c r="A91" s="53"/>
    </row>
    <row r="92" spans="1:1" ht="13.2">
      <c r="A92" s="53"/>
    </row>
    <row r="93" spans="1:1" ht="13.2">
      <c r="A93" s="53"/>
    </row>
    <row r="94" spans="1:1" ht="13.2">
      <c r="A94" s="53"/>
    </row>
    <row r="95" spans="1:1" ht="13.2">
      <c r="A95" s="53"/>
    </row>
    <row r="96" spans="1:1" ht="13.2">
      <c r="A96" s="53"/>
    </row>
    <row r="97" spans="1:1" ht="13.2">
      <c r="A97" s="53"/>
    </row>
    <row r="98" spans="1:1" ht="13.2">
      <c r="A98" s="53"/>
    </row>
    <row r="99" spans="1:1" ht="13.2">
      <c r="A99" s="53"/>
    </row>
    <row r="100" spans="1:1" ht="13.2">
      <c r="A100" s="53"/>
    </row>
    <row r="101" spans="1:1" ht="13.2">
      <c r="A101" s="53"/>
    </row>
    <row r="102" spans="1:1" ht="13.2">
      <c r="A102" s="53"/>
    </row>
    <row r="103" spans="1:1" ht="13.2">
      <c r="A103" s="53"/>
    </row>
    <row r="104" spans="1:1" ht="13.2">
      <c r="A104" s="53"/>
    </row>
    <row r="105" spans="1:1" ht="13.2">
      <c r="A105" s="53"/>
    </row>
    <row r="106" spans="1:1" ht="13.2">
      <c r="A106" s="53"/>
    </row>
    <row r="107" spans="1:1" ht="13.2">
      <c r="A107" s="53"/>
    </row>
    <row r="108" spans="1:1" ht="13.2">
      <c r="A108" s="53"/>
    </row>
    <row r="109" spans="1:1" ht="13.2">
      <c r="A109" s="53"/>
    </row>
    <row r="110" spans="1:1" ht="13.2">
      <c r="A110" s="53"/>
    </row>
    <row r="111" spans="1:1" ht="13.2">
      <c r="A111" s="53"/>
    </row>
    <row r="112" spans="1:1" ht="13.2">
      <c r="A112" s="53"/>
    </row>
    <row r="113" spans="1:1" ht="13.2">
      <c r="A113" s="53"/>
    </row>
    <row r="114" spans="1:1" ht="13.2">
      <c r="A114" s="53"/>
    </row>
    <row r="115" spans="1:1" ht="13.2">
      <c r="A115" s="53"/>
    </row>
    <row r="116" spans="1:1" ht="13.2">
      <c r="A116" s="53"/>
    </row>
    <row r="117" spans="1:1" ht="13.2">
      <c r="A117" s="53"/>
    </row>
    <row r="118" spans="1:1" ht="13.2">
      <c r="A118" s="53"/>
    </row>
    <row r="119" spans="1:1" ht="13.2">
      <c r="A119" s="53"/>
    </row>
    <row r="120" spans="1:1" ht="13.2">
      <c r="A120" s="53"/>
    </row>
    <row r="121" spans="1:1" ht="13.2">
      <c r="A121" s="53"/>
    </row>
    <row r="122" spans="1:1" ht="13.2">
      <c r="A122" s="53"/>
    </row>
    <row r="123" spans="1:1" ht="13.2">
      <c r="A123" s="53"/>
    </row>
    <row r="124" spans="1:1" ht="13.2">
      <c r="A124" s="53"/>
    </row>
    <row r="125" spans="1:1" ht="13.2">
      <c r="A125" s="53"/>
    </row>
    <row r="126" spans="1:1" ht="13.2">
      <c r="A126" s="53"/>
    </row>
    <row r="127" spans="1:1" ht="13.2">
      <c r="A127" s="53"/>
    </row>
    <row r="128" spans="1:1" ht="13.2">
      <c r="A128" s="53"/>
    </row>
    <row r="129" spans="1:1" ht="13.2">
      <c r="A129" s="53"/>
    </row>
    <row r="130" spans="1:1" ht="13.2">
      <c r="A130" s="53"/>
    </row>
    <row r="131" spans="1:1" ht="13.2">
      <c r="A131" s="53"/>
    </row>
    <row r="132" spans="1:1" ht="13.2">
      <c r="A132" s="53"/>
    </row>
    <row r="133" spans="1:1" ht="13.2">
      <c r="A133" s="53"/>
    </row>
    <row r="134" spans="1:1" ht="13.2">
      <c r="A134" s="53"/>
    </row>
    <row r="135" spans="1:1" ht="13.2">
      <c r="A135" s="53"/>
    </row>
    <row r="136" spans="1:1" ht="13.2">
      <c r="A136" s="53"/>
    </row>
    <row r="137" spans="1:1" ht="13.2">
      <c r="A137" s="53"/>
    </row>
    <row r="138" spans="1:1" ht="13.2">
      <c r="A138" s="53"/>
    </row>
    <row r="139" spans="1:1" ht="13.2">
      <c r="A139" s="53"/>
    </row>
    <row r="140" spans="1:1" ht="13.2">
      <c r="A140" s="53"/>
    </row>
    <row r="141" spans="1:1" ht="13.2">
      <c r="A141" s="53"/>
    </row>
    <row r="142" spans="1:1" ht="13.2">
      <c r="A142" s="53"/>
    </row>
    <row r="143" spans="1:1" ht="13.2">
      <c r="A143" s="53"/>
    </row>
    <row r="144" spans="1:1" ht="13.2">
      <c r="A144" s="53"/>
    </row>
    <row r="145" spans="1:1" ht="13.2">
      <c r="A145" s="53"/>
    </row>
    <row r="146" spans="1:1" ht="13.2">
      <c r="A146" s="53"/>
    </row>
    <row r="147" spans="1:1" ht="13.2">
      <c r="A147" s="53"/>
    </row>
    <row r="148" spans="1:1" ht="13.2">
      <c r="A148" s="53"/>
    </row>
    <row r="149" spans="1:1" ht="13.2">
      <c r="A149" s="53"/>
    </row>
    <row r="150" spans="1:1" ht="13.2">
      <c r="A150" s="53"/>
    </row>
    <row r="151" spans="1:1" ht="13.2">
      <c r="A151" s="53"/>
    </row>
    <row r="152" spans="1:1" ht="13.2">
      <c r="A152" s="53"/>
    </row>
    <row r="153" spans="1:1" ht="13.2">
      <c r="A153" s="53"/>
    </row>
    <row r="154" spans="1:1" ht="13.2">
      <c r="A154" s="53"/>
    </row>
    <row r="155" spans="1:1" ht="13.2">
      <c r="A155" s="53"/>
    </row>
    <row r="156" spans="1:1" ht="13.2">
      <c r="A156" s="53"/>
    </row>
    <row r="157" spans="1:1" ht="13.2">
      <c r="A157" s="53"/>
    </row>
    <row r="158" spans="1:1" ht="13.2">
      <c r="A158" s="53"/>
    </row>
    <row r="159" spans="1:1" ht="13.2">
      <c r="A159" s="53"/>
    </row>
    <row r="160" spans="1:1" ht="13.2">
      <c r="A160" s="53"/>
    </row>
    <row r="161" spans="1:1" ht="13.2">
      <c r="A161" s="53"/>
    </row>
    <row r="162" spans="1:1" ht="13.2">
      <c r="A162" s="53"/>
    </row>
    <row r="163" spans="1:1" ht="13.2">
      <c r="A163" s="53"/>
    </row>
    <row r="164" spans="1:1" ht="13.2">
      <c r="A164" s="53"/>
    </row>
    <row r="165" spans="1:1" ht="13.2">
      <c r="A165" s="53"/>
    </row>
    <row r="166" spans="1:1" ht="13.2">
      <c r="A166" s="53"/>
    </row>
    <row r="167" spans="1:1" ht="13.2">
      <c r="A167" s="53"/>
    </row>
    <row r="168" spans="1:1" ht="13.2">
      <c r="A168" s="53"/>
    </row>
    <row r="169" spans="1:1" ht="13.2">
      <c r="A169" s="53"/>
    </row>
    <row r="170" spans="1:1" ht="13.2">
      <c r="A170" s="53"/>
    </row>
    <row r="171" spans="1:1" ht="13.2">
      <c r="A171" s="53"/>
    </row>
    <row r="172" spans="1:1" ht="13.2">
      <c r="A172" s="53"/>
    </row>
    <row r="173" spans="1:1" ht="13.2">
      <c r="A173" s="53"/>
    </row>
    <row r="174" spans="1:1" ht="13.2">
      <c r="A174" s="53"/>
    </row>
    <row r="175" spans="1:1" ht="13.2">
      <c r="A175" s="53"/>
    </row>
    <row r="176" spans="1:1" ht="13.2">
      <c r="A176" s="53"/>
    </row>
    <row r="177" spans="1:1" ht="13.2">
      <c r="A177" s="53"/>
    </row>
    <row r="178" spans="1:1" ht="13.2">
      <c r="A178" s="53"/>
    </row>
    <row r="179" spans="1:1" ht="13.2">
      <c r="A179" s="53"/>
    </row>
    <row r="180" spans="1:1" ht="13.2">
      <c r="A180" s="53"/>
    </row>
    <row r="181" spans="1:1" ht="13.2">
      <c r="A181" s="53"/>
    </row>
    <row r="182" spans="1:1" ht="13.2">
      <c r="A182" s="53"/>
    </row>
    <row r="183" spans="1:1" ht="13.2">
      <c r="A183" s="53"/>
    </row>
    <row r="184" spans="1:1" ht="13.2">
      <c r="A184" s="53"/>
    </row>
    <row r="185" spans="1:1" ht="13.2">
      <c r="A185" s="53"/>
    </row>
    <row r="186" spans="1:1" ht="13.2">
      <c r="A186" s="53"/>
    </row>
    <row r="187" spans="1:1" ht="13.2">
      <c r="A187" s="53"/>
    </row>
    <row r="188" spans="1:1" ht="13.2">
      <c r="A188" s="53"/>
    </row>
    <row r="189" spans="1:1" ht="13.2">
      <c r="A189" s="53"/>
    </row>
    <row r="190" spans="1:1" ht="13.2">
      <c r="A190" s="53"/>
    </row>
    <row r="191" spans="1:1" ht="13.2">
      <c r="A191" s="53"/>
    </row>
    <row r="192" spans="1:1" ht="13.2">
      <c r="A192" s="53"/>
    </row>
    <row r="193" spans="1:1" ht="13.2">
      <c r="A193" s="53"/>
    </row>
    <row r="194" spans="1:1" ht="13.2">
      <c r="A194" s="53"/>
    </row>
    <row r="195" spans="1:1" ht="13.2">
      <c r="A195" s="53"/>
    </row>
    <row r="196" spans="1:1" ht="13.2">
      <c r="A196" s="53"/>
    </row>
    <row r="197" spans="1:1" ht="13.2">
      <c r="A197" s="53"/>
    </row>
    <row r="198" spans="1:1" ht="13.2">
      <c r="A198" s="53"/>
    </row>
    <row r="199" spans="1:1" ht="13.2">
      <c r="A199" s="53"/>
    </row>
    <row r="200" spans="1:1" ht="13.2">
      <c r="A200" s="53"/>
    </row>
    <row r="201" spans="1:1" ht="13.2">
      <c r="A201" s="53"/>
    </row>
    <row r="202" spans="1:1" ht="13.2">
      <c r="A202" s="53"/>
    </row>
    <row r="203" spans="1:1" ht="13.2">
      <c r="A203" s="53"/>
    </row>
    <row r="204" spans="1:1" ht="13.2">
      <c r="A204" s="53"/>
    </row>
    <row r="205" spans="1:1" ht="13.2">
      <c r="A205" s="53"/>
    </row>
    <row r="206" spans="1:1" ht="13.2">
      <c r="A206" s="53"/>
    </row>
    <row r="207" spans="1:1" ht="13.2">
      <c r="A207" s="53"/>
    </row>
    <row r="208" spans="1:1" ht="13.2">
      <c r="A208" s="53"/>
    </row>
    <row r="209" spans="1:1" ht="13.2">
      <c r="A209" s="53"/>
    </row>
    <row r="210" spans="1:1" ht="13.2">
      <c r="A210" s="53"/>
    </row>
    <row r="211" spans="1:1" ht="13.2">
      <c r="A211" s="53"/>
    </row>
    <row r="212" spans="1:1" ht="13.2">
      <c r="A212" s="53"/>
    </row>
    <row r="213" spans="1:1" ht="13.2">
      <c r="A213" s="53"/>
    </row>
    <row r="214" spans="1:1" ht="13.2">
      <c r="A214" s="53"/>
    </row>
    <row r="215" spans="1:1" ht="13.2">
      <c r="A215" s="53"/>
    </row>
    <row r="216" spans="1:1" ht="13.2">
      <c r="A216" s="53"/>
    </row>
    <row r="217" spans="1:1" ht="13.2">
      <c r="A217" s="53"/>
    </row>
    <row r="218" spans="1:1" ht="13.2">
      <c r="A218" s="53"/>
    </row>
    <row r="219" spans="1:1" ht="13.2">
      <c r="A219" s="53"/>
    </row>
    <row r="220" spans="1:1" ht="13.2">
      <c r="A220" s="53"/>
    </row>
    <row r="221" spans="1:1" ht="13.2">
      <c r="A221" s="53"/>
    </row>
    <row r="222" spans="1:1" ht="13.2">
      <c r="A222" s="53"/>
    </row>
    <row r="223" spans="1:1" ht="13.2">
      <c r="A223" s="53"/>
    </row>
    <row r="224" spans="1:1" ht="13.2">
      <c r="A224" s="53"/>
    </row>
    <row r="225" spans="1:1" ht="13.2">
      <c r="A225" s="53"/>
    </row>
    <row r="226" spans="1:1" ht="13.2">
      <c r="A226" s="53"/>
    </row>
    <row r="227" spans="1:1" ht="13.2">
      <c r="A227" s="53"/>
    </row>
    <row r="228" spans="1:1" ht="13.2">
      <c r="A228" s="53"/>
    </row>
    <row r="229" spans="1:1" ht="13.2">
      <c r="A229" s="53"/>
    </row>
    <row r="230" spans="1:1" ht="13.2">
      <c r="A230" s="53"/>
    </row>
    <row r="231" spans="1:1" ht="13.2">
      <c r="A231" s="53"/>
    </row>
    <row r="232" spans="1:1" ht="13.2">
      <c r="A232" s="53"/>
    </row>
    <row r="233" spans="1:1" ht="13.2">
      <c r="A233" s="53"/>
    </row>
    <row r="234" spans="1:1" ht="13.2">
      <c r="A234" s="53"/>
    </row>
    <row r="235" spans="1:1" ht="13.2">
      <c r="A235" s="53"/>
    </row>
    <row r="236" spans="1:1" ht="13.2">
      <c r="A236" s="53"/>
    </row>
    <row r="237" spans="1:1" ht="13.2">
      <c r="A237" s="53"/>
    </row>
    <row r="238" spans="1:1" ht="13.2">
      <c r="A238" s="53"/>
    </row>
    <row r="239" spans="1:1" ht="13.2">
      <c r="A239" s="53"/>
    </row>
    <row r="240" spans="1:1" ht="13.2">
      <c r="A240" s="53"/>
    </row>
    <row r="241" spans="1:1" ht="13.2">
      <c r="A241" s="53"/>
    </row>
    <row r="242" spans="1:1" ht="13.2">
      <c r="A242" s="53"/>
    </row>
    <row r="243" spans="1:1" ht="13.2">
      <c r="A243" s="53"/>
    </row>
    <row r="244" spans="1:1" ht="13.2">
      <c r="A244" s="53"/>
    </row>
    <row r="245" spans="1:1" ht="13.2">
      <c r="A245" s="53"/>
    </row>
    <row r="246" spans="1:1" ht="13.2">
      <c r="A246" s="53"/>
    </row>
    <row r="247" spans="1:1" ht="13.2">
      <c r="A247" s="53"/>
    </row>
    <row r="248" spans="1:1" ht="13.2">
      <c r="A248" s="53"/>
    </row>
    <row r="249" spans="1:1" ht="13.2">
      <c r="A249" s="53"/>
    </row>
    <row r="250" spans="1:1" ht="13.2">
      <c r="A250" s="53"/>
    </row>
    <row r="251" spans="1:1" ht="13.2">
      <c r="A251" s="53"/>
    </row>
    <row r="252" spans="1:1" ht="13.2">
      <c r="A252" s="53"/>
    </row>
    <row r="253" spans="1:1" ht="13.2">
      <c r="A253" s="53"/>
    </row>
    <row r="254" spans="1:1" ht="13.2">
      <c r="A254" s="53"/>
    </row>
    <row r="255" spans="1:1" ht="13.2">
      <c r="A255" s="53"/>
    </row>
    <row r="256" spans="1:1" ht="13.2">
      <c r="A256" s="53"/>
    </row>
    <row r="257" spans="1:1" ht="13.2">
      <c r="A257" s="53"/>
    </row>
    <row r="258" spans="1:1" ht="13.2">
      <c r="A258" s="53"/>
    </row>
    <row r="259" spans="1:1" ht="13.2">
      <c r="A259" s="53"/>
    </row>
    <row r="260" spans="1:1" ht="13.2">
      <c r="A260" s="53"/>
    </row>
    <row r="261" spans="1:1" ht="13.2">
      <c r="A261" s="53"/>
    </row>
    <row r="262" spans="1:1" ht="13.2">
      <c r="A262" s="53"/>
    </row>
    <row r="263" spans="1:1" ht="13.2">
      <c r="A263" s="53"/>
    </row>
    <row r="264" spans="1:1" ht="13.2">
      <c r="A264" s="53"/>
    </row>
    <row r="265" spans="1:1" ht="13.2">
      <c r="A265" s="53"/>
    </row>
    <row r="266" spans="1:1" ht="13.2">
      <c r="A266" s="53"/>
    </row>
    <row r="267" spans="1:1" ht="13.2">
      <c r="A267" s="53"/>
    </row>
    <row r="268" spans="1:1" ht="13.2">
      <c r="A268" s="53"/>
    </row>
    <row r="269" spans="1:1" ht="13.2">
      <c r="A269" s="53"/>
    </row>
    <row r="270" spans="1:1" ht="13.2">
      <c r="A270" s="53"/>
    </row>
    <row r="271" spans="1:1" ht="13.2">
      <c r="A271" s="53"/>
    </row>
    <row r="272" spans="1:1" ht="13.2">
      <c r="A272" s="53"/>
    </row>
    <row r="273" spans="1:1" ht="13.2">
      <c r="A273" s="53"/>
    </row>
    <row r="274" spans="1:1" ht="13.2">
      <c r="A274" s="53"/>
    </row>
    <row r="275" spans="1:1" ht="13.2">
      <c r="A275" s="53"/>
    </row>
    <row r="276" spans="1:1" ht="13.2">
      <c r="A276" s="53"/>
    </row>
    <row r="277" spans="1:1" ht="13.2">
      <c r="A277" s="53"/>
    </row>
    <row r="278" spans="1:1" ht="13.2">
      <c r="A278" s="53"/>
    </row>
    <row r="279" spans="1:1" ht="13.2">
      <c r="A279" s="53"/>
    </row>
    <row r="280" spans="1:1" ht="13.2">
      <c r="A280" s="53"/>
    </row>
    <row r="281" spans="1:1" ht="13.2">
      <c r="A281" s="53"/>
    </row>
    <row r="282" spans="1:1" ht="13.2">
      <c r="A282" s="53"/>
    </row>
    <row r="283" spans="1:1" ht="13.2">
      <c r="A283" s="53"/>
    </row>
    <row r="284" spans="1:1" ht="13.2">
      <c r="A284" s="53"/>
    </row>
    <row r="285" spans="1:1" ht="13.2">
      <c r="A285" s="53"/>
    </row>
    <row r="286" spans="1:1" ht="13.2">
      <c r="A286" s="53"/>
    </row>
    <row r="287" spans="1:1" ht="13.2">
      <c r="A287" s="53"/>
    </row>
    <row r="288" spans="1:1" ht="13.2">
      <c r="A288" s="53"/>
    </row>
    <row r="289" spans="1:1" ht="13.2">
      <c r="A289" s="53"/>
    </row>
    <row r="290" spans="1:1" ht="13.2">
      <c r="A290" s="53"/>
    </row>
    <row r="291" spans="1:1" ht="13.2">
      <c r="A291" s="53"/>
    </row>
    <row r="292" spans="1:1" ht="13.2">
      <c r="A292" s="53"/>
    </row>
    <row r="293" spans="1:1" ht="13.2">
      <c r="A293" s="53"/>
    </row>
    <row r="294" spans="1:1" ht="13.2">
      <c r="A294" s="53"/>
    </row>
    <row r="295" spans="1:1" ht="13.2">
      <c r="A295" s="53"/>
    </row>
    <row r="296" spans="1:1" ht="13.2">
      <c r="A296" s="53"/>
    </row>
    <row r="297" spans="1:1" ht="13.2">
      <c r="A297" s="53"/>
    </row>
    <row r="298" spans="1:1" ht="13.2">
      <c r="A298" s="53"/>
    </row>
    <row r="299" spans="1:1" ht="13.2">
      <c r="A299" s="53"/>
    </row>
    <row r="300" spans="1:1" ht="13.2">
      <c r="A300" s="53"/>
    </row>
    <row r="301" spans="1:1" ht="13.2">
      <c r="A301" s="53"/>
    </row>
    <row r="302" spans="1:1" ht="13.2">
      <c r="A302" s="53"/>
    </row>
    <row r="303" spans="1:1" ht="13.2">
      <c r="A303" s="53"/>
    </row>
    <row r="304" spans="1:1" ht="13.2">
      <c r="A304" s="53"/>
    </row>
    <row r="305" spans="1:1" ht="13.2">
      <c r="A305" s="53"/>
    </row>
    <row r="306" spans="1:1" ht="13.2">
      <c r="A306" s="53"/>
    </row>
    <row r="307" spans="1:1" ht="13.2">
      <c r="A307" s="53"/>
    </row>
    <row r="308" spans="1:1" ht="13.2">
      <c r="A308" s="53"/>
    </row>
    <row r="309" spans="1:1" ht="13.2">
      <c r="A309" s="53"/>
    </row>
    <row r="310" spans="1:1" ht="13.2">
      <c r="A310" s="53"/>
    </row>
    <row r="311" spans="1:1" ht="13.2">
      <c r="A311" s="53"/>
    </row>
    <row r="312" spans="1:1" ht="13.2">
      <c r="A312" s="53"/>
    </row>
    <row r="313" spans="1:1" ht="13.2">
      <c r="A313" s="53"/>
    </row>
    <row r="314" spans="1:1" ht="13.2">
      <c r="A314" s="53"/>
    </row>
    <row r="315" spans="1:1" ht="13.2">
      <c r="A315" s="53"/>
    </row>
    <row r="316" spans="1:1" ht="13.2">
      <c r="A316" s="53"/>
    </row>
    <row r="317" spans="1:1" ht="13.2">
      <c r="A317" s="53"/>
    </row>
    <row r="318" spans="1:1" ht="13.2">
      <c r="A318" s="53"/>
    </row>
    <row r="319" spans="1:1" ht="13.2">
      <c r="A319" s="53"/>
    </row>
    <row r="320" spans="1:1" ht="13.2">
      <c r="A320" s="53"/>
    </row>
    <row r="321" spans="1:1" ht="13.2">
      <c r="A321" s="53"/>
    </row>
    <row r="322" spans="1:1" ht="13.2">
      <c r="A322" s="53"/>
    </row>
    <row r="323" spans="1:1" ht="13.2">
      <c r="A323" s="53"/>
    </row>
    <row r="324" spans="1:1" ht="13.2">
      <c r="A324" s="53"/>
    </row>
    <row r="325" spans="1:1" ht="13.2">
      <c r="A325" s="53"/>
    </row>
    <row r="326" spans="1:1" ht="13.2">
      <c r="A326" s="53"/>
    </row>
    <row r="327" spans="1:1" ht="13.2">
      <c r="A327" s="53"/>
    </row>
    <row r="328" spans="1:1" ht="13.2">
      <c r="A328" s="53"/>
    </row>
    <row r="329" spans="1:1" ht="13.2">
      <c r="A329" s="53"/>
    </row>
    <row r="330" spans="1:1" ht="13.2">
      <c r="A330" s="53"/>
    </row>
    <row r="331" spans="1:1" ht="13.2">
      <c r="A331" s="53"/>
    </row>
    <row r="332" spans="1:1" ht="13.2">
      <c r="A332" s="53"/>
    </row>
    <row r="333" spans="1:1" ht="13.2">
      <c r="A333" s="53"/>
    </row>
    <row r="334" spans="1:1" ht="13.2">
      <c r="A334" s="53"/>
    </row>
    <row r="335" spans="1:1" ht="13.2">
      <c r="A335" s="53"/>
    </row>
    <row r="336" spans="1:1" ht="13.2">
      <c r="A336" s="53"/>
    </row>
    <row r="337" spans="1:1" ht="13.2">
      <c r="A337" s="53"/>
    </row>
    <row r="338" spans="1:1" ht="13.2">
      <c r="A338" s="53"/>
    </row>
    <row r="339" spans="1:1" ht="13.2">
      <c r="A339" s="53"/>
    </row>
    <row r="340" spans="1:1" ht="13.2">
      <c r="A340" s="53"/>
    </row>
    <row r="341" spans="1:1" ht="13.2">
      <c r="A341" s="53"/>
    </row>
    <row r="342" spans="1:1" ht="13.2">
      <c r="A342" s="53"/>
    </row>
    <row r="343" spans="1:1" ht="13.2">
      <c r="A343" s="53"/>
    </row>
    <row r="344" spans="1:1" ht="13.2">
      <c r="A344" s="53"/>
    </row>
    <row r="345" spans="1:1" ht="13.2">
      <c r="A345" s="53"/>
    </row>
    <row r="346" spans="1:1" ht="13.2">
      <c r="A346" s="53"/>
    </row>
    <row r="347" spans="1:1" ht="13.2">
      <c r="A347" s="53"/>
    </row>
    <row r="348" spans="1:1" ht="13.2">
      <c r="A348" s="53"/>
    </row>
    <row r="349" spans="1:1" ht="13.2">
      <c r="A349" s="53"/>
    </row>
    <row r="350" spans="1:1" ht="13.2">
      <c r="A350" s="53"/>
    </row>
    <row r="351" spans="1:1" ht="13.2">
      <c r="A351" s="53"/>
    </row>
    <row r="352" spans="1:1" ht="13.2">
      <c r="A352" s="53"/>
    </row>
    <row r="353" spans="1:1" ht="13.2">
      <c r="A353" s="53"/>
    </row>
    <row r="354" spans="1:1" ht="13.2">
      <c r="A354" s="53"/>
    </row>
    <row r="355" spans="1:1" ht="13.2">
      <c r="A355" s="53"/>
    </row>
    <row r="356" spans="1:1" ht="13.2">
      <c r="A356" s="53"/>
    </row>
    <row r="357" spans="1:1" ht="13.2">
      <c r="A357" s="53"/>
    </row>
    <row r="358" spans="1:1" ht="13.2">
      <c r="A358" s="53"/>
    </row>
    <row r="359" spans="1:1" ht="13.2">
      <c r="A359" s="53"/>
    </row>
    <row r="360" spans="1:1" ht="13.2">
      <c r="A360" s="53"/>
    </row>
    <row r="361" spans="1:1" ht="13.2">
      <c r="A361" s="53"/>
    </row>
    <row r="362" spans="1:1" ht="13.2">
      <c r="A362" s="53"/>
    </row>
    <row r="363" spans="1:1" ht="13.2">
      <c r="A363" s="53"/>
    </row>
    <row r="364" spans="1:1" ht="13.2">
      <c r="A364" s="53"/>
    </row>
    <row r="365" spans="1:1" ht="13.2">
      <c r="A365" s="53"/>
    </row>
    <row r="366" spans="1:1" ht="13.2">
      <c r="A366" s="53"/>
    </row>
    <row r="367" spans="1:1" ht="13.2">
      <c r="A367" s="53"/>
    </row>
    <row r="368" spans="1:1" ht="13.2">
      <c r="A368" s="53"/>
    </row>
    <row r="369" spans="1:1" ht="13.2">
      <c r="A369" s="53"/>
    </row>
    <row r="370" spans="1:1" ht="13.2">
      <c r="A370" s="53"/>
    </row>
    <row r="371" spans="1:1" ht="13.2">
      <c r="A371" s="53"/>
    </row>
    <row r="372" spans="1:1" ht="13.2">
      <c r="A372" s="53"/>
    </row>
    <row r="373" spans="1:1" ht="13.2">
      <c r="A373" s="53"/>
    </row>
    <row r="374" spans="1:1" ht="13.2">
      <c r="A374" s="53"/>
    </row>
    <row r="375" spans="1:1" ht="13.2">
      <c r="A375" s="53"/>
    </row>
    <row r="376" spans="1:1" ht="13.2">
      <c r="A376" s="53"/>
    </row>
    <row r="377" spans="1:1" ht="13.2">
      <c r="A377" s="53"/>
    </row>
    <row r="378" spans="1:1" ht="13.2">
      <c r="A378" s="53"/>
    </row>
    <row r="379" spans="1:1" ht="13.2">
      <c r="A379" s="53"/>
    </row>
    <row r="380" spans="1:1" ht="13.2">
      <c r="A380" s="53"/>
    </row>
    <row r="381" spans="1:1" ht="13.2">
      <c r="A381" s="53"/>
    </row>
    <row r="382" spans="1:1" ht="13.2">
      <c r="A382" s="53"/>
    </row>
    <row r="383" spans="1:1" ht="13.2">
      <c r="A383" s="53"/>
    </row>
    <row r="384" spans="1:1" ht="13.2">
      <c r="A384" s="53"/>
    </row>
    <row r="385" spans="1:1" ht="13.2">
      <c r="A385" s="53"/>
    </row>
    <row r="386" spans="1:1" ht="13.2">
      <c r="A386" s="53"/>
    </row>
    <row r="387" spans="1:1" ht="13.2">
      <c r="A387" s="53"/>
    </row>
    <row r="388" spans="1:1" ht="13.2">
      <c r="A388" s="53"/>
    </row>
    <row r="389" spans="1:1" ht="13.2">
      <c r="A389" s="53"/>
    </row>
    <row r="390" spans="1:1" ht="13.2">
      <c r="A390" s="53"/>
    </row>
    <row r="391" spans="1:1" ht="13.2">
      <c r="A391" s="53"/>
    </row>
    <row r="392" spans="1:1" ht="13.2">
      <c r="A392" s="53"/>
    </row>
    <row r="393" spans="1:1" ht="13.2">
      <c r="A393" s="53"/>
    </row>
    <row r="394" spans="1:1" ht="13.2">
      <c r="A394" s="53"/>
    </row>
    <row r="395" spans="1:1" ht="13.2">
      <c r="A395" s="53"/>
    </row>
    <row r="396" spans="1:1" ht="13.2">
      <c r="A396" s="53"/>
    </row>
    <row r="397" spans="1:1" ht="13.2">
      <c r="A397" s="53"/>
    </row>
    <row r="398" spans="1:1" ht="13.2">
      <c r="A398" s="53"/>
    </row>
    <row r="399" spans="1:1" ht="13.2">
      <c r="A399" s="53"/>
    </row>
    <row r="400" spans="1:1" ht="13.2">
      <c r="A400" s="53"/>
    </row>
    <row r="401" spans="1:1" ht="13.2">
      <c r="A401" s="53"/>
    </row>
    <row r="402" spans="1:1" ht="13.2">
      <c r="A402" s="53"/>
    </row>
    <row r="403" spans="1:1" ht="13.2">
      <c r="A403" s="53"/>
    </row>
    <row r="404" spans="1:1" ht="13.2">
      <c r="A404" s="53"/>
    </row>
    <row r="405" spans="1:1" ht="13.2">
      <c r="A405" s="53"/>
    </row>
    <row r="406" spans="1:1" ht="13.2">
      <c r="A406" s="53"/>
    </row>
    <row r="407" spans="1:1" ht="13.2">
      <c r="A407" s="53"/>
    </row>
    <row r="408" spans="1:1" ht="13.2">
      <c r="A408" s="53"/>
    </row>
    <row r="409" spans="1:1" ht="13.2">
      <c r="A409" s="53"/>
    </row>
    <row r="410" spans="1:1" ht="13.2">
      <c r="A410" s="53"/>
    </row>
    <row r="411" spans="1:1" ht="13.2">
      <c r="A411" s="53"/>
    </row>
    <row r="412" spans="1:1" ht="13.2">
      <c r="A412" s="53"/>
    </row>
    <row r="413" spans="1:1" ht="13.2">
      <c r="A413" s="53"/>
    </row>
    <row r="414" spans="1:1" ht="13.2">
      <c r="A414" s="53"/>
    </row>
    <row r="415" spans="1:1" ht="13.2">
      <c r="A415" s="53"/>
    </row>
    <row r="416" spans="1:1" ht="13.2">
      <c r="A416" s="53"/>
    </row>
    <row r="417" spans="1:1" ht="13.2">
      <c r="A417" s="53"/>
    </row>
    <row r="418" spans="1:1" ht="13.2">
      <c r="A418" s="53"/>
    </row>
    <row r="419" spans="1:1" ht="13.2">
      <c r="A419" s="53"/>
    </row>
    <row r="420" spans="1:1" ht="13.2">
      <c r="A420" s="53"/>
    </row>
    <row r="421" spans="1:1" ht="13.2">
      <c r="A421" s="53"/>
    </row>
    <row r="422" spans="1:1" ht="13.2">
      <c r="A422" s="53"/>
    </row>
    <row r="423" spans="1:1" ht="13.2">
      <c r="A423" s="53"/>
    </row>
    <row r="424" spans="1:1" ht="13.2">
      <c r="A424" s="53"/>
    </row>
    <row r="425" spans="1:1" ht="13.2">
      <c r="A425" s="53"/>
    </row>
    <row r="426" spans="1:1" ht="13.2">
      <c r="A426" s="53"/>
    </row>
    <row r="427" spans="1:1" ht="13.2">
      <c r="A427" s="53"/>
    </row>
    <row r="428" spans="1:1" ht="13.2">
      <c r="A428" s="53"/>
    </row>
    <row r="429" spans="1:1" ht="13.2">
      <c r="A429" s="53"/>
    </row>
    <row r="430" spans="1:1" ht="13.2">
      <c r="A430" s="53"/>
    </row>
    <row r="431" spans="1:1" ht="13.2">
      <c r="A431" s="53"/>
    </row>
    <row r="432" spans="1:1" ht="13.2">
      <c r="A432" s="53"/>
    </row>
    <row r="433" spans="1:1" ht="13.2">
      <c r="A433" s="53"/>
    </row>
    <row r="434" spans="1:1" ht="13.2">
      <c r="A434" s="53"/>
    </row>
    <row r="435" spans="1:1" ht="13.2">
      <c r="A435" s="53"/>
    </row>
    <row r="436" spans="1:1" ht="13.2">
      <c r="A436" s="53"/>
    </row>
    <row r="437" spans="1:1" ht="13.2">
      <c r="A437" s="53"/>
    </row>
    <row r="438" spans="1:1" ht="13.2">
      <c r="A438" s="53"/>
    </row>
    <row r="439" spans="1:1" ht="13.2">
      <c r="A439" s="53"/>
    </row>
    <row r="440" spans="1:1" ht="13.2">
      <c r="A440" s="53"/>
    </row>
    <row r="441" spans="1:1" ht="13.2">
      <c r="A441" s="53"/>
    </row>
    <row r="442" spans="1:1" ht="13.2">
      <c r="A442" s="53"/>
    </row>
    <row r="443" spans="1:1" ht="13.2">
      <c r="A443" s="53"/>
    </row>
    <row r="444" spans="1:1" ht="13.2">
      <c r="A444" s="53"/>
    </row>
    <row r="445" spans="1:1" ht="13.2">
      <c r="A445" s="53"/>
    </row>
    <row r="446" spans="1:1" ht="13.2">
      <c r="A446" s="53"/>
    </row>
    <row r="447" spans="1:1" ht="13.2">
      <c r="A447" s="53"/>
    </row>
    <row r="448" spans="1:1" ht="13.2">
      <c r="A448" s="53"/>
    </row>
    <row r="449" spans="1:1" ht="13.2">
      <c r="A449" s="53"/>
    </row>
    <row r="450" spans="1:1" ht="13.2">
      <c r="A450" s="53"/>
    </row>
    <row r="451" spans="1:1" ht="13.2">
      <c r="A451" s="53"/>
    </row>
    <row r="452" spans="1:1" ht="13.2">
      <c r="A452" s="53"/>
    </row>
    <row r="453" spans="1:1" ht="13.2">
      <c r="A453" s="53"/>
    </row>
    <row r="454" spans="1:1" ht="13.2">
      <c r="A454" s="53"/>
    </row>
    <row r="455" spans="1:1" ht="13.2">
      <c r="A455" s="53"/>
    </row>
    <row r="456" spans="1:1" ht="13.2">
      <c r="A456" s="53"/>
    </row>
    <row r="457" spans="1:1" ht="13.2">
      <c r="A457" s="53"/>
    </row>
    <row r="458" spans="1:1" ht="13.2">
      <c r="A458" s="53"/>
    </row>
    <row r="459" spans="1:1" ht="13.2">
      <c r="A459" s="53"/>
    </row>
    <row r="460" spans="1:1" ht="13.2">
      <c r="A460" s="53"/>
    </row>
    <row r="461" spans="1:1" ht="13.2">
      <c r="A461" s="53"/>
    </row>
    <row r="462" spans="1:1" ht="13.2">
      <c r="A462" s="53"/>
    </row>
    <row r="463" spans="1:1" ht="13.2">
      <c r="A463" s="53"/>
    </row>
    <row r="464" spans="1:1" ht="13.2">
      <c r="A464" s="53"/>
    </row>
    <row r="465" spans="1:1" ht="13.2">
      <c r="A465" s="53"/>
    </row>
    <row r="466" spans="1:1" ht="13.2">
      <c r="A466" s="53"/>
    </row>
    <row r="467" spans="1:1" ht="13.2">
      <c r="A467" s="53"/>
    </row>
    <row r="468" spans="1:1" ht="13.2">
      <c r="A468" s="53"/>
    </row>
    <row r="469" spans="1:1" ht="13.2">
      <c r="A469" s="53"/>
    </row>
    <row r="470" spans="1:1" ht="13.2">
      <c r="A470" s="53"/>
    </row>
    <row r="471" spans="1:1" ht="13.2">
      <c r="A471" s="53"/>
    </row>
    <row r="472" spans="1:1" ht="13.2">
      <c r="A472" s="53"/>
    </row>
    <row r="473" spans="1:1" ht="13.2">
      <c r="A473" s="53"/>
    </row>
    <row r="474" spans="1:1" ht="13.2">
      <c r="A474" s="53"/>
    </row>
    <row r="475" spans="1:1" ht="13.2">
      <c r="A475" s="53"/>
    </row>
    <row r="476" spans="1:1" ht="13.2">
      <c r="A476" s="53"/>
    </row>
    <row r="477" spans="1:1" ht="13.2">
      <c r="A477" s="53"/>
    </row>
    <row r="478" spans="1:1" ht="13.2">
      <c r="A478" s="53"/>
    </row>
    <row r="479" spans="1:1" ht="13.2">
      <c r="A479" s="53"/>
    </row>
    <row r="480" spans="1:1" ht="13.2">
      <c r="A480" s="53"/>
    </row>
    <row r="481" spans="1:1" ht="13.2">
      <c r="A481" s="53"/>
    </row>
    <row r="482" spans="1:1" ht="13.2">
      <c r="A482" s="53"/>
    </row>
    <row r="483" spans="1:1" ht="13.2">
      <c r="A483" s="53"/>
    </row>
    <row r="484" spans="1:1" ht="13.2">
      <c r="A484" s="53"/>
    </row>
    <row r="485" spans="1:1" ht="13.2">
      <c r="A485" s="53"/>
    </row>
    <row r="486" spans="1:1" ht="13.2">
      <c r="A486" s="53"/>
    </row>
    <row r="487" spans="1:1" ht="13.2">
      <c r="A487" s="53"/>
    </row>
    <row r="488" spans="1:1" ht="13.2">
      <c r="A488" s="53"/>
    </row>
    <row r="489" spans="1:1" ht="13.2">
      <c r="A489" s="53"/>
    </row>
    <row r="490" spans="1:1" ht="13.2">
      <c r="A490" s="53"/>
    </row>
    <row r="491" spans="1:1" ht="13.2">
      <c r="A491" s="53"/>
    </row>
    <row r="492" spans="1:1" ht="13.2">
      <c r="A492" s="53"/>
    </row>
    <row r="493" spans="1:1" ht="13.2">
      <c r="A493" s="53"/>
    </row>
    <row r="494" spans="1:1" ht="13.2">
      <c r="A494" s="53"/>
    </row>
    <row r="495" spans="1:1" ht="13.2">
      <c r="A495" s="53"/>
    </row>
    <row r="496" spans="1:1" ht="13.2">
      <c r="A496" s="53"/>
    </row>
    <row r="497" spans="1:1" ht="13.2">
      <c r="A497" s="53"/>
    </row>
    <row r="498" spans="1:1" ht="13.2">
      <c r="A498" s="53"/>
    </row>
    <row r="499" spans="1:1" ht="13.2">
      <c r="A499" s="53"/>
    </row>
    <row r="500" spans="1:1" ht="13.2">
      <c r="A500" s="53"/>
    </row>
    <row r="501" spans="1:1" ht="13.2">
      <c r="A501" s="53"/>
    </row>
    <row r="502" spans="1:1" ht="13.2">
      <c r="A502" s="53"/>
    </row>
    <row r="503" spans="1:1" ht="13.2">
      <c r="A503" s="53"/>
    </row>
    <row r="504" spans="1:1" ht="13.2">
      <c r="A504" s="53"/>
    </row>
    <row r="505" spans="1:1" ht="13.2">
      <c r="A505" s="53"/>
    </row>
    <row r="506" spans="1:1" ht="13.2">
      <c r="A506" s="53"/>
    </row>
    <row r="507" spans="1:1" ht="13.2">
      <c r="A507" s="53"/>
    </row>
    <row r="508" spans="1:1" ht="13.2">
      <c r="A508" s="53"/>
    </row>
    <row r="509" spans="1:1" ht="13.2">
      <c r="A509" s="53"/>
    </row>
    <row r="510" spans="1:1" ht="13.2">
      <c r="A510" s="53"/>
    </row>
    <row r="511" spans="1:1" ht="13.2">
      <c r="A511" s="53"/>
    </row>
    <row r="512" spans="1:1" ht="13.2">
      <c r="A512" s="53"/>
    </row>
    <row r="513" spans="1:1" ht="13.2">
      <c r="A513" s="53"/>
    </row>
    <row r="514" spans="1:1" ht="13.2">
      <c r="A514" s="53"/>
    </row>
    <row r="515" spans="1:1" ht="13.2">
      <c r="A515" s="53"/>
    </row>
    <row r="516" spans="1:1" ht="13.2">
      <c r="A516" s="53"/>
    </row>
    <row r="517" spans="1:1" ht="13.2">
      <c r="A517" s="53"/>
    </row>
    <row r="518" spans="1:1" ht="13.2">
      <c r="A518" s="53"/>
    </row>
    <row r="519" spans="1:1" ht="13.2">
      <c r="A519" s="53"/>
    </row>
    <row r="520" spans="1:1" ht="13.2">
      <c r="A520" s="53"/>
    </row>
    <row r="521" spans="1:1" ht="13.2">
      <c r="A521" s="53"/>
    </row>
    <row r="522" spans="1:1" ht="13.2">
      <c r="A522" s="53"/>
    </row>
    <row r="523" spans="1:1" ht="13.2">
      <c r="A523" s="53"/>
    </row>
    <row r="524" spans="1:1" ht="13.2">
      <c r="A524" s="53"/>
    </row>
    <row r="525" spans="1:1" ht="13.2">
      <c r="A525" s="53"/>
    </row>
    <row r="526" spans="1:1" ht="13.2">
      <c r="A526" s="53"/>
    </row>
    <row r="527" spans="1:1" ht="13.2">
      <c r="A527" s="53"/>
    </row>
    <row r="528" spans="1:1" ht="13.2">
      <c r="A528" s="53"/>
    </row>
    <row r="529" spans="1:1" ht="13.2">
      <c r="A529" s="53"/>
    </row>
    <row r="530" spans="1:1" ht="13.2">
      <c r="A530" s="53"/>
    </row>
    <row r="531" spans="1:1" ht="13.2">
      <c r="A531" s="53"/>
    </row>
    <row r="532" spans="1:1" ht="13.2">
      <c r="A532" s="53"/>
    </row>
    <row r="533" spans="1:1" ht="13.2">
      <c r="A533" s="53"/>
    </row>
    <row r="534" spans="1:1" ht="13.2">
      <c r="A534" s="53"/>
    </row>
    <row r="535" spans="1:1" ht="13.2">
      <c r="A535" s="53"/>
    </row>
    <row r="536" spans="1:1" ht="13.2">
      <c r="A536" s="53"/>
    </row>
    <row r="537" spans="1:1" ht="13.2">
      <c r="A537" s="53"/>
    </row>
    <row r="538" spans="1:1" ht="13.2">
      <c r="A538" s="53"/>
    </row>
    <row r="539" spans="1:1" ht="13.2">
      <c r="A539" s="53"/>
    </row>
    <row r="540" spans="1:1" ht="13.2">
      <c r="A540" s="53"/>
    </row>
    <row r="541" spans="1:1" ht="13.2">
      <c r="A541" s="53"/>
    </row>
    <row r="542" spans="1:1" ht="13.2">
      <c r="A542" s="53"/>
    </row>
    <row r="543" spans="1:1" ht="13.2">
      <c r="A543" s="53"/>
    </row>
    <row r="544" spans="1:1" ht="13.2">
      <c r="A544" s="53"/>
    </row>
    <row r="545" spans="1:1" ht="13.2">
      <c r="A545" s="53"/>
    </row>
    <row r="546" spans="1:1" ht="13.2">
      <c r="A546" s="53"/>
    </row>
    <row r="547" spans="1:1" ht="13.2">
      <c r="A547" s="53"/>
    </row>
    <row r="548" spans="1:1" ht="13.2">
      <c r="A548" s="53"/>
    </row>
    <row r="549" spans="1:1" ht="13.2">
      <c r="A549" s="53"/>
    </row>
    <row r="550" spans="1:1" ht="13.2">
      <c r="A550" s="53"/>
    </row>
    <row r="551" spans="1:1" ht="13.2">
      <c r="A551" s="53"/>
    </row>
    <row r="552" spans="1:1" ht="13.2">
      <c r="A552" s="53"/>
    </row>
    <row r="553" spans="1:1" ht="13.2">
      <c r="A553" s="53"/>
    </row>
    <row r="554" spans="1:1" ht="13.2">
      <c r="A554" s="53"/>
    </row>
    <row r="555" spans="1:1" ht="13.2">
      <c r="A555" s="53"/>
    </row>
    <row r="556" spans="1:1" ht="13.2">
      <c r="A556" s="53"/>
    </row>
    <row r="557" spans="1:1" ht="13.2">
      <c r="A557" s="53"/>
    </row>
    <row r="558" spans="1:1" ht="13.2">
      <c r="A558" s="53"/>
    </row>
    <row r="559" spans="1:1" ht="13.2">
      <c r="A559" s="53"/>
    </row>
    <row r="560" spans="1:1" ht="13.2">
      <c r="A560" s="53"/>
    </row>
    <row r="561" spans="1:1" ht="13.2">
      <c r="A561" s="53"/>
    </row>
    <row r="562" spans="1:1" ht="13.2">
      <c r="A562" s="53"/>
    </row>
    <row r="563" spans="1:1" ht="13.2">
      <c r="A563" s="53"/>
    </row>
    <row r="564" spans="1:1" ht="13.2">
      <c r="A564" s="53"/>
    </row>
    <row r="565" spans="1:1" ht="13.2">
      <c r="A565" s="53"/>
    </row>
    <row r="566" spans="1:1" ht="13.2">
      <c r="A566" s="53"/>
    </row>
    <row r="567" spans="1:1" ht="13.2">
      <c r="A567" s="53"/>
    </row>
    <row r="568" spans="1:1" ht="13.2">
      <c r="A568" s="53"/>
    </row>
    <row r="569" spans="1:1" ht="13.2">
      <c r="A569" s="53"/>
    </row>
    <row r="570" spans="1:1" ht="13.2">
      <c r="A570" s="53"/>
    </row>
    <row r="571" spans="1:1" ht="13.2">
      <c r="A571" s="53"/>
    </row>
    <row r="572" spans="1:1" ht="13.2">
      <c r="A572" s="53"/>
    </row>
    <row r="573" spans="1:1" ht="13.2">
      <c r="A573" s="53"/>
    </row>
    <row r="574" spans="1:1" ht="13.2">
      <c r="A574" s="53"/>
    </row>
    <row r="575" spans="1:1" ht="13.2">
      <c r="A575" s="53"/>
    </row>
    <row r="576" spans="1:1" ht="13.2">
      <c r="A576" s="53"/>
    </row>
    <row r="577" spans="1:1" ht="13.2">
      <c r="A577" s="53"/>
    </row>
    <row r="578" spans="1:1" ht="13.2">
      <c r="A578" s="53"/>
    </row>
    <row r="579" spans="1:1" ht="13.2">
      <c r="A579" s="53"/>
    </row>
    <row r="580" spans="1:1" ht="13.2">
      <c r="A580" s="53"/>
    </row>
    <row r="581" spans="1:1" ht="13.2">
      <c r="A581" s="53"/>
    </row>
    <row r="582" spans="1:1" ht="13.2">
      <c r="A582" s="53"/>
    </row>
    <row r="583" spans="1:1" ht="13.2">
      <c r="A583" s="53"/>
    </row>
    <row r="584" spans="1:1" ht="13.2">
      <c r="A584" s="53"/>
    </row>
    <row r="585" spans="1:1" ht="13.2">
      <c r="A585" s="53"/>
    </row>
    <row r="586" spans="1:1" ht="13.2">
      <c r="A586" s="53"/>
    </row>
    <row r="587" spans="1:1" ht="13.2">
      <c r="A587" s="53"/>
    </row>
    <row r="588" spans="1:1" ht="13.2">
      <c r="A588" s="53"/>
    </row>
    <row r="589" spans="1:1" ht="13.2">
      <c r="A589" s="53"/>
    </row>
    <row r="590" spans="1:1" ht="13.2">
      <c r="A590" s="53"/>
    </row>
    <row r="591" spans="1:1" ht="13.2">
      <c r="A591" s="53"/>
    </row>
    <row r="592" spans="1:1" ht="13.2">
      <c r="A592" s="53"/>
    </row>
    <row r="593" spans="1:1" ht="13.2">
      <c r="A593" s="53"/>
    </row>
    <row r="594" spans="1:1" ht="13.2">
      <c r="A594" s="53"/>
    </row>
    <row r="595" spans="1:1" ht="13.2">
      <c r="A595" s="53"/>
    </row>
    <row r="596" spans="1:1" ht="13.2">
      <c r="A596" s="53"/>
    </row>
    <row r="597" spans="1:1" ht="13.2">
      <c r="A597" s="53"/>
    </row>
    <row r="598" spans="1:1" ht="13.2">
      <c r="A598" s="53"/>
    </row>
    <row r="599" spans="1:1" ht="13.2">
      <c r="A599" s="53"/>
    </row>
    <row r="600" spans="1:1" ht="13.2">
      <c r="A600" s="53"/>
    </row>
    <row r="601" spans="1:1" ht="13.2">
      <c r="A601" s="53"/>
    </row>
    <row r="602" spans="1:1" ht="13.2">
      <c r="A602" s="53"/>
    </row>
    <row r="603" spans="1:1" ht="13.2">
      <c r="A603" s="53"/>
    </row>
    <row r="604" spans="1:1" ht="13.2">
      <c r="A604" s="53"/>
    </row>
    <row r="605" spans="1:1" ht="13.2">
      <c r="A605" s="53"/>
    </row>
    <row r="606" spans="1:1" ht="13.2">
      <c r="A606" s="53"/>
    </row>
    <row r="607" spans="1:1" ht="13.2">
      <c r="A607" s="53"/>
    </row>
    <row r="608" spans="1:1" ht="13.2">
      <c r="A608" s="53"/>
    </row>
    <row r="609" spans="1:1" ht="13.2">
      <c r="A609" s="53"/>
    </row>
    <row r="610" spans="1:1" ht="13.2">
      <c r="A610" s="53"/>
    </row>
    <row r="611" spans="1:1" ht="13.2">
      <c r="A611" s="53"/>
    </row>
    <row r="612" spans="1:1" ht="13.2">
      <c r="A612" s="53"/>
    </row>
    <row r="613" spans="1:1" ht="13.2">
      <c r="A613" s="53"/>
    </row>
    <row r="614" spans="1:1" ht="13.2">
      <c r="A614" s="53"/>
    </row>
    <row r="615" spans="1:1" ht="13.2">
      <c r="A615" s="53"/>
    </row>
    <row r="616" spans="1:1" ht="13.2">
      <c r="A616" s="53"/>
    </row>
    <row r="617" spans="1:1" ht="13.2">
      <c r="A617" s="53"/>
    </row>
    <row r="618" spans="1:1" ht="13.2">
      <c r="A618" s="53"/>
    </row>
    <row r="619" spans="1:1" ht="13.2">
      <c r="A619" s="53"/>
    </row>
    <row r="620" spans="1:1" ht="13.2">
      <c r="A620" s="53"/>
    </row>
    <row r="621" spans="1:1" ht="13.2">
      <c r="A621" s="53"/>
    </row>
    <row r="622" spans="1:1" ht="13.2">
      <c r="A622" s="53"/>
    </row>
    <row r="623" spans="1:1" ht="13.2">
      <c r="A623" s="53"/>
    </row>
    <row r="624" spans="1:1" ht="13.2">
      <c r="A624" s="53"/>
    </row>
    <row r="625" spans="1:1" ht="13.2">
      <c r="A625" s="53"/>
    </row>
    <row r="626" spans="1:1" ht="13.2">
      <c r="A626" s="53"/>
    </row>
    <row r="627" spans="1:1" ht="13.2">
      <c r="A627" s="53"/>
    </row>
    <row r="628" spans="1:1" ht="13.2">
      <c r="A628" s="53"/>
    </row>
    <row r="629" spans="1:1" ht="13.2">
      <c r="A629" s="53"/>
    </row>
    <row r="630" spans="1:1" ht="13.2">
      <c r="A630" s="53"/>
    </row>
    <row r="631" spans="1:1" ht="13.2">
      <c r="A631" s="53"/>
    </row>
    <row r="632" spans="1:1" ht="13.2">
      <c r="A632" s="53"/>
    </row>
    <row r="633" spans="1:1" ht="13.2">
      <c r="A633" s="53"/>
    </row>
    <row r="634" spans="1:1" ht="13.2">
      <c r="A634" s="53"/>
    </row>
    <row r="635" spans="1:1" ht="13.2">
      <c r="A635" s="53"/>
    </row>
    <row r="636" spans="1:1" ht="13.2">
      <c r="A636" s="53"/>
    </row>
    <row r="637" spans="1:1" ht="13.2">
      <c r="A637" s="53"/>
    </row>
    <row r="638" spans="1:1" ht="13.2">
      <c r="A638" s="53"/>
    </row>
    <row r="639" spans="1:1" ht="13.2">
      <c r="A639" s="53"/>
    </row>
    <row r="640" spans="1:1" ht="13.2">
      <c r="A640" s="53"/>
    </row>
    <row r="641" spans="1:1" ht="13.2">
      <c r="A641" s="53"/>
    </row>
    <row r="642" spans="1:1" ht="13.2">
      <c r="A642" s="53"/>
    </row>
    <row r="643" spans="1:1" ht="13.2">
      <c r="A643" s="53"/>
    </row>
    <row r="644" spans="1:1" ht="13.2">
      <c r="A644" s="53"/>
    </row>
    <row r="645" spans="1:1" ht="13.2">
      <c r="A645" s="53"/>
    </row>
    <row r="646" spans="1:1" ht="13.2">
      <c r="A646" s="53"/>
    </row>
    <row r="647" spans="1:1" ht="13.2">
      <c r="A647" s="53"/>
    </row>
    <row r="648" spans="1:1" ht="13.2">
      <c r="A648" s="53"/>
    </row>
    <row r="649" spans="1:1" ht="13.2">
      <c r="A649" s="53"/>
    </row>
    <row r="650" spans="1:1" ht="13.2">
      <c r="A650" s="53"/>
    </row>
    <row r="651" spans="1:1" ht="13.2">
      <c r="A651" s="53"/>
    </row>
    <row r="652" spans="1:1" ht="13.2">
      <c r="A652" s="53"/>
    </row>
    <row r="653" spans="1:1" ht="13.2">
      <c r="A653" s="53"/>
    </row>
    <row r="654" spans="1:1" ht="13.2">
      <c r="A654" s="53"/>
    </row>
    <row r="655" spans="1:1" ht="13.2">
      <c r="A655" s="53"/>
    </row>
    <row r="656" spans="1:1" ht="13.2">
      <c r="A656" s="53"/>
    </row>
    <row r="657" spans="1:1" ht="13.2">
      <c r="A657" s="53"/>
    </row>
    <row r="658" spans="1:1" ht="13.2">
      <c r="A658" s="53"/>
    </row>
    <row r="659" spans="1:1" ht="13.2">
      <c r="A659" s="53"/>
    </row>
    <row r="660" spans="1:1" ht="13.2">
      <c r="A660" s="53"/>
    </row>
    <row r="661" spans="1:1" ht="13.2">
      <c r="A661" s="53"/>
    </row>
    <row r="662" spans="1:1" ht="13.2">
      <c r="A662" s="53"/>
    </row>
    <row r="663" spans="1:1" ht="13.2">
      <c r="A663" s="53"/>
    </row>
    <row r="664" spans="1:1" ht="13.2">
      <c r="A664" s="53"/>
    </row>
    <row r="665" spans="1:1" ht="13.2">
      <c r="A665" s="53"/>
    </row>
    <row r="666" spans="1:1" ht="13.2">
      <c r="A666" s="53"/>
    </row>
    <row r="667" spans="1:1" ht="13.2">
      <c r="A667" s="53"/>
    </row>
    <row r="668" spans="1:1" ht="13.2">
      <c r="A668" s="53"/>
    </row>
    <row r="669" spans="1:1" ht="13.2">
      <c r="A669" s="53"/>
    </row>
    <row r="670" spans="1:1" ht="13.2">
      <c r="A670" s="53"/>
    </row>
    <row r="671" spans="1:1" ht="13.2">
      <c r="A671" s="53"/>
    </row>
    <row r="672" spans="1:1" ht="13.2">
      <c r="A672" s="53"/>
    </row>
    <row r="673" spans="1:1" ht="13.2">
      <c r="A673" s="53"/>
    </row>
    <row r="674" spans="1:1" ht="13.2">
      <c r="A674" s="53"/>
    </row>
    <row r="675" spans="1:1" ht="13.2">
      <c r="A675" s="53"/>
    </row>
    <row r="676" spans="1:1" ht="13.2">
      <c r="A676" s="53"/>
    </row>
    <row r="677" spans="1:1" ht="13.2">
      <c r="A677" s="53"/>
    </row>
    <row r="678" spans="1:1" ht="13.2">
      <c r="A678" s="53"/>
    </row>
    <row r="679" spans="1:1" ht="13.2">
      <c r="A679" s="53"/>
    </row>
    <row r="680" spans="1:1" ht="13.2">
      <c r="A680" s="53"/>
    </row>
    <row r="681" spans="1:1" ht="13.2">
      <c r="A681" s="53"/>
    </row>
    <row r="682" spans="1:1" ht="13.2">
      <c r="A682" s="53"/>
    </row>
    <row r="683" spans="1:1" ht="13.2">
      <c r="A683" s="53"/>
    </row>
    <row r="684" spans="1:1" ht="13.2">
      <c r="A684" s="53"/>
    </row>
    <row r="685" spans="1:1" ht="13.2">
      <c r="A685" s="53"/>
    </row>
    <row r="686" spans="1:1" ht="13.2">
      <c r="A686" s="53"/>
    </row>
    <row r="687" spans="1:1" ht="13.2">
      <c r="A687" s="53"/>
    </row>
    <row r="688" spans="1:1" ht="13.2">
      <c r="A688" s="53"/>
    </row>
    <row r="689" spans="1:1" ht="13.2">
      <c r="A689" s="53"/>
    </row>
    <row r="690" spans="1:1" ht="13.2">
      <c r="A690" s="53"/>
    </row>
    <row r="691" spans="1:1" ht="13.2">
      <c r="A691" s="53"/>
    </row>
    <row r="692" spans="1:1" ht="13.2">
      <c r="A692" s="53"/>
    </row>
    <row r="693" spans="1:1" ht="13.2">
      <c r="A693" s="53"/>
    </row>
    <row r="694" spans="1:1" ht="13.2">
      <c r="A694" s="53"/>
    </row>
    <row r="695" spans="1:1" ht="13.2">
      <c r="A695" s="53"/>
    </row>
    <row r="696" spans="1:1" ht="13.2">
      <c r="A696" s="53"/>
    </row>
    <row r="697" spans="1:1" ht="13.2">
      <c r="A697" s="53"/>
    </row>
    <row r="698" spans="1:1" ht="13.2">
      <c r="A698" s="53"/>
    </row>
    <row r="699" spans="1:1" ht="13.2">
      <c r="A699" s="53"/>
    </row>
    <row r="700" spans="1:1" ht="13.2">
      <c r="A700" s="53"/>
    </row>
    <row r="701" spans="1:1" ht="13.2">
      <c r="A701" s="53"/>
    </row>
    <row r="702" spans="1:1" ht="13.2">
      <c r="A702" s="53"/>
    </row>
    <row r="703" spans="1:1" ht="13.2">
      <c r="A703" s="53"/>
    </row>
    <row r="704" spans="1:1" ht="13.2">
      <c r="A704" s="53"/>
    </row>
    <row r="705" spans="1:1" ht="13.2">
      <c r="A705" s="53"/>
    </row>
    <row r="706" spans="1:1" ht="13.2">
      <c r="A706" s="53"/>
    </row>
    <row r="707" spans="1:1" ht="13.2">
      <c r="A707" s="53"/>
    </row>
    <row r="708" spans="1:1" ht="13.2">
      <c r="A708" s="53"/>
    </row>
    <row r="709" spans="1:1" ht="13.2">
      <c r="A709" s="53"/>
    </row>
    <row r="710" spans="1:1" ht="13.2">
      <c r="A710" s="53"/>
    </row>
    <row r="711" spans="1:1" ht="13.2">
      <c r="A711" s="53"/>
    </row>
    <row r="712" spans="1:1" ht="13.2">
      <c r="A712" s="53"/>
    </row>
    <row r="713" spans="1:1" ht="13.2">
      <c r="A713" s="53"/>
    </row>
    <row r="714" spans="1:1" ht="13.2">
      <c r="A714" s="53"/>
    </row>
    <row r="715" spans="1:1" ht="13.2">
      <c r="A715" s="53"/>
    </row>
    <row r="716" spans="1:1" ht="13.2">
      <c r="A716" s="53"/>
    </row>
    <row r="717" spans="1:1" ht="13.2">
      <c r="A717" s="53"/>
    </row>
    <row r="718" spans="1:1" ht="13.2">
      <c r="A718" s="53"/>
    </row>
    <row r="719" spans="1:1" ht="13.2">
      <c r="A719" s="53"/>
    </row>
    <row r="720" spans="1:1" ht="13.2">
      <c r="A720" s="53"/>
    </row>
    <row r="721" spans="1:1" ht="13.2">
      <c r="A721" s="53"/>
    </row>
    <row r="722" spans="1:1" ht="13.2">
      <c r="A722" s="53"/>
    </row>
    <row r="723" spans="1:1" ht="13.2">
      <c r="A723" s="53"/>
    </row>
    <row r="724" spans="1:1" ht="13.2">
      <c r="A724" s="53"/>
    </row>
    <row r="725" spans="1:1" ht="13.2">
      <c r="A725" s="53"/>
    </row>
    <row r="726" spans="1:1" ht="13.2">
      <c r="A726" s="53"/>
    </row>
    <row r="727" spans="1:1" ht="13.2">
      <c r="A727" s="53"/>
    </row>
    <row r="728" spans="1:1" ht="13.2">
      <c r="A728" s="53"/>
    </row>
    <row r="729" spans="1:1" ht="13.2">
      <c r="A729" s="53"/>
    </row>
    <row r="730" spans="1:1" ht="13.2">
      <c r="A730" s="53"/>
    </row>
    <row r="731" spans="1:1" ht="13.2">
      <c r="A731" s="53"/>
    </row>
    <row r="732" spans="1:1" ht="13.2">
      <c r="A732" s="53"/>
    </row>
    <row r="733" spans="1:1" ht="13.2">
      <c r="A733" s="53"/>
    </row>
    <row r="734" spans="1:1" ht="13.2">
      <c r="A734" s="53"/>
    </row>
    <row r="735" spans="1:1" ht="13.2">
      <c r="A735" s="53"/>
    </row>
    <row r="736" spans="1:1" ht="13.2">
      <c r="A736" s="53"/>
    </row>
    <row r="737" spans="1:1" ht="13.2">
      <c r="A737" s="53"/>
    </row>
    <row r="738" spans="1:1" ht="13.2">
      <c r="A738" s="53"/>
    </row>
    <row r="739" spans="1:1" ht="13.2">
      <c r="A739" s="53"/>
    </row>
    <row r="740" spans="1:1" ht="13.2">
      <c r="A740" s="53"/>
    </row>
    <row r="741" spans="1:1" ht="13.2">
      <c r="A741" s="53"/>
    </row>
    <row r="742" spans="1:1" ht="13.2">
      <c r="A742" s="53"/>
    </row>
    <row r="743" spans="1:1" ht="13.2">
      <c r="A743" s="53"/>
    </row>
    <row r="744" spans="1:1" ht="13.2">
      <c r="A744" s="53"/>
    </row>
    <row r="745" spans="1:1" ht="13.2">
      <c r="A745" s="53"/>
    </row>
    <row r="746" spans="1:1" ht="13.2">
      <c r="A746" s="53"/>
    </row>
    <row r="747" spans="1:1" ht="13.2">
      <c r="A747" s="53"/>
    </row>
    <row r="748" spans="1:1" ht="13.2">
      <c r="A748" s="53"/>
    </row>
    <row r="749" spans="1:1" ht="13.2">
      <c r="A749" s="53"/>
    </row>
    <row r="750" spans="1:1" ht="13.2">
      <c r="A750" s="53"/>
    </row>
    <row r="751" spans="1:1" ht="13.2">
      <c r="A751" s="53"/>
    </row>
    <row r="752" spans="1:1" ht="13.2">
      <c r="A752" s="53"/>
    </row>
    <row r="753" spans="1:1" ht="13.2">
      <c r="A753" s="53"/>
    </row>
    <row r="754" spans="1:1" ht="13.2">
      <c r="A754" s="53"/>
    </row>
    <row r="755" spans="1:1" ht="13.2">
      <c r="A755" s="53"/>
    </row>
    <row r="756" spans="1:1" ht="13.2">
      <c r="A756" s="53"/>
    </row>
    <row r="757" spans="1:1" ht="13.2">
      <c r="A757" s="53"/>
    </row>
    <row r="758" spans="1:1" ht="13.2">
      <c r="A758" s="53"/>
    </row>
    <row r="759" spans="1:1" ht="13.2">
      <c r="A759" s="53"/>
    </row>
    <row r="760" spans="1:1" ht="13.2">
      <c r="A760" s="53"/>
    </row>
    <row r="761" spans="1:1" ht="13.2">
      <c r="A761" s="53"/>
    </row>
    <row r="762" spans="1:1" ht="13.2">
      <c r="A762" s="53"/>
    </row>
    <row r="763" spans="1:1" ht="13.2">
      <c r="A763" s="53"/>
    </row>
    <row r="764" spans="1:1" ht="13.2">
      <c r="A764" s="53"/>
    </row>
    <row r="765" spans="1:1" ht="13.2">
      <c r="A765" s="53"/>
    </row>
    <row r="766" spans="1:1" ht="13.2">
      <c r="A766" s="53"/>
    </row>
    <row r="767" spans="1:1" ht="13.2">
      <c r="A767" s="53"/>
    </row>
    <row r="768" spans="1:1" ht="13.2">
      <c r="A768" s="53"/>
    </row>
    <row r="769" spans="1:1" ht="13.2">
      <c r="A769" s="53"/>
    </row>
    <row r="770" spans="1:1" ht="13.2">
      <c r="A770" s="53"/>
    </row>
    <row r="771" spans="1:1" ht="13.2">
      <c r="A771" s="53"/>
    </row>
    <row r="772" spans="1:1" ht="13.2">
      <c r="A772" s="53"/>
    </row>
    <row r="773" spans="1:1" ht="13.2">
      <c r="A773" s="53"/>
    </row>
    <row r="774" spans="1:1" ht="13.2">
      <c r="A774" s="53"/>
    </row>
    <row r="775" spans="1:1" ht="13.2">
      <c r="A775" s="53"/>
    </row>
    <row r="776" spans="1:1" ht="13.2">
      <c r="A776" s="53"/>
    </row>
    <row r="777" spans="1:1" ht="13.2">
      <c r="A777" s="53"/>
    </row>
    <row r="778" spans="1:1" ht="13.2">
      <c r="A778" s="53"/>
    </row>
    <row r="779" spans="1:1" ht="13.2">
      <c r="A779" s="53"/>
    </row>
    <row r="780" spans="1:1" ht="13.2">
      <c r="A780" s="53"/>
    </row>
    <row r="781" spans="1:1" ht="13.2">
      <c r="A781" s="53"/>
    </row>
    <row r="782" spans="1:1" ht="13.2">
      <c r="A782" s="53"/>
    </row>
    <row r="783" spans="1:1" ht="13.2">
      <c r="A783" s="53"/>
    </row>
    <row r="784" spans="1:1" ht="13.2">
      <c r="A784" s="53"/>
    </row>
    <row r="785" spans="1:1" ht="13.2">
      <c r="A785" s="53"/>
    </row>
    <row r="786" spans="1:1" ht="13.2">
      <c r="A786" s="53"/>
    </row>
    <row r="787" spans="1:1" ht="13.2">
      <c r="A787" s="53"/>
    </row>
    <row r="788" spans="1:1" ht="13.2">
      <c r="A788" s="53"/>
    </row>
    <row r="789" spans="1:1" ht="13.2">
      <c r="A789" s="53"/>
    </row>
    <row r="790" spans="1:1" ht="13.2">
      <c r="A790" s="53"/>
    </row>
    <row r="791" spans="1:1" ht="13.2">
      <c r="A791" s="53"/>
    </row>
    <row r="792" spans="1:1" ht="13.2">
      <c r="A792" s="53"/>
    </row>
    <row r="793" spans="1:1" ht="13.2">
      <c r="A793" s="53"/>
    </row>
    <row r="794" spans="1:1" ht="13.2">
      <c r="A794" s="53"/>
    </row>
    <row r="795" spans="1:1" ht="13.2">
      <c r="A795" s="53"/>
    </row>
    <row r="796" spans="1:1" ht="13.2">
      <c r="A796" s="53"/>
    </row>
    <row r="797" spans="1:1" ht="13.2">
      <c r="A797" s="53"/>
    </row>
    <row r="798" spans="1:1" ht="13.2">
      <c r="A798" s="53"/>
    </row>
    <row r="799" spans="1:1" ht="13.2">
      <c r="A799" s="53"/>
    </row>
    <row r="800" spans="1:1" ht="13.2">
      <c r="A800" s="53"/>
    </row>
    <row r="801" spans="1:1" ht="13.2">
      <c r="A801" s="53"/>
    </row>
    <row r="802" spans="1:1" ht="13.2">
      <c r="A802" s="53"/>
    </row>
    <row r="803" spans="1:1" ht="13.2">
      <c r="A803" s="53"/>
    </row>
    <row r="804" spans="1:1" ht="13.2">
      <c r="A804" s="53"/>
    </row>
    <row r="805" spans="1:1" ht="13.2">
      <c r="A805" s="53"/>
    </row>
    <row r="806" spans="1:1" ht="13.2">
      <c r="A806" s="53"/>
    </row>
    <row r="807" spans="1:1" ht="13.2">
      <c r="A807" s="53"/>
    </row>
    <row r="808" spans="1:1" ht="13.2">
      <c r="A808" s="53"/>
    </row>
    <row r="809" spans="1:1" ht="13.2">
      <c r="A809" s="53"/>
    </row>
    <row r="810" spans="1:1" ht="13.2">
      <c r="A810" s="53"/>
    </row>
    <row r="811" spans="1:1" ht="13.2">
      <c r="A811" s="53"/>
    </row>
    <row r="812" spans="1:1" ht="13.2">
      <c r="A812" s="53"/>
    </row>
    <row r="813" spans="1:1" ht="13.2">
      <c r="A813" s="53"/>
    </row>
    <row r="814" spans="1:1" ht="13.2">
      <c r="A814" s="53"/>
    </row>
    <row r="815" spans="1:1" ht="13.2">
      <c r="A815" s="53"/>
    </row>
    <row r="816" spans="1:1" ht="13.2">
      <c r="A816" s="53"/>
    </row>
    <row r="817" spans="1:1" ht="13.2">
      <c r="A817" s="53"/>
    </row>
    <row r="818" spans="1:1" ht="13.2">
      <c r="A818" s="53"/>
    </row>
    <row r="819" spans="1:1" ht="13.2">
      <c r="A819" s="53"/>
    </row>
    <row r="820" spans="1:1" ht="13.2">
      <c r="A820" s="53"/>
    </row>
    <row r="821" spans="1:1" ht="13.2">
      <c r="A821" s="53"/>
    </row>
    <row r="822" spans="1:1" ht="13.2">
      <c r="A822" s="53"/>
    </row>
    <row r="823" spans="1:1" ht="13.2">
      <c r="A823" s="53"/>
    </row>
    <row r="824" spans="1:1" ht="13.2">
      <c r="A824" s="53"/>
    </row>
    <row r="825" spans="1:1" ht="13.2">
      <c r="A825" s="53"/>
    </row>
    <row r="826" spans="1:1" ht="13.2">
      <c r="A826" s="53"/>
    </row>
    <row r="827" spans="1:1" ht="13.2">
      <c r="A827" s="53"/>
    </row>
    <row r="828" spans="1:1" ht="13.2">
      <c r="A828" s="53"/>
    </row>
    <row r="829" spans="1:1" ht="13.2">
      <c r="A829" s="53"/>
    </row>
    <row r="830" spans="1:1" ht="13.2">
      <c r="A830" s="53"/>
    </row>
    <row r="831" spans="1:1" ht="13.2">
      <c r="A831" s="53"/>
    </row>
    <row r="832" spans="1:1" ht="13.2">
      <c r="A832" s="53"/>
    </row>
    <row r="833" spans="1:1" ht="13.2">
      <c r="A833" s="53"/>
    </row>
    <row r="834" spans="1:1" ht="13.2">
      <c r="A834" s="53"/>
    </row>
    <row r="835" spans="1:1" ht="13.2">
      <c r="A835" s="53"/>
    </row>
    <row r="836" spans="1:1" ht="13.2">
      <c r="A836" s="53"/>
    </row>
    <row r="837" spans="1:1" ht="13.2">
      <c r="A837" s="53"/>
    </row>
    <row r="838" spans="1:1" ht="13.2">
      <c r="A838" s="53"/>
    </row>
    <row r="839" spans="1:1" ht="13.2">
      <c r="A839" s="53"/>
    </row>
    <row r="840" spans="1:1" ht="13.2">
      <c r="A840" s="53"/>
    </row>
    <row r="841" spans="1:1" ht="13.2">
      <c r="A841" s="53"/>
    </row>
    <row r="842" spans="1:1" ht="13.2">
      <c r="A842" s="53"/>
    </row>
    <row r="843" spans="1:1" ht="13.2">
      <c r="A843" s="53"/>
    </row>
    <row r="844" spans="1:1" ht="13.2">
      <c r="A844" s="53"/>
    </row>
    <row r="845" spans="1:1" ht="13.2">
      <c r="A845" s="53"/>
    </row>
    <row r="846" spans="1:1" ht="13.2">
      <c r="A846" s="53"/>
    </row>
    <row r="847" spans="1:1" ht="13.2">
      <c r="A847" s="53"/>
    </row>
    <row r="848" spans="1:1" ht="13.2">
      <c r="A848" s="53"/>
    </row>
    <row r="849" spans="1:1" ht="13.2">
      <c r="A849" s="53"/>
    </row>
    <row r="850" spans="1:1" ht="13.2">
      <c r="A850" s="53"/>
    </row>
    <row r="851" spans="1:1" ht="13.2">
      <c r="A851" s="53"/>
    </row>
    <row r="852" spans="1:1" ht="13.2">
      <c r="A852" s="53"/>
    </row>
    <row r="853" spans="1:1" ht="13.2">
      <c r="A853" s="53"/>
    </row>
    <row r="854" spans="1:1" ht="13.2">
      <c r="A854" s="53"/>
    </row>
    <row r="855" spans="1:1" ht="13.2">
      <c r="A855" s="53"/>
    </row>
    <row r="856" spans="1:1" ht="13.2">
      <c r="A856" s="53"/>
    </row>
    <row r="857" spans="1:1" ht="13.2">
      <c r="A857" s="53"/>
    </row>
    <row r="858" spans="1:1" ht="13.2">
      <c r="A858" s="53"/>
    </row>
    <row r="859" spans="1:1" ht="13.2">
      <c r="A859" s="53"/>
    </row>
    <row r="860" spans="1:1" ht="13.2">
      <c r="A860" s="53"/>
    </row>
    <row r="861" spans="1:1" ht="13.2">
      <c r="A861" s="53"/>
    </row>
    <row r="862" spans="1:1" ht="13.2">
      <c r="A862" s="53"/>
    </row>
    <row r="863" spans="1:1" ht="13.2">
      <c r="A863" s="53"/>
    </row>
    <row r="864" spans="1:1" ht="13.2">
      <c r="A864" s="53"/>
    </row>
    <row r="865" spans="1:1" ht="13.2">
      <c r="A865" s="53"/>
    </row>
    <row r="866" spans="1:1" ht="13.2">
      <c r="A866" s="53"/>
    </row>
    <row r="867" spans="1:1" ht="13.2">
      <c r="A867" s="53"/>
    </row>
    <row r="868" spans="1:1" ht="13.2">
      <c r="A868" s="53"/>
    </row>
    <row r="869" spans="1:1" ht="13.2">
      <c r="A869" s="53"/>
    </row>
    <row r="870" spans="1:1" ht="13.2">
      <c r="A870" s="53"/>
    </row>
    <row r="871" spans="1:1" ht="13.2">
      <c r="A871" s="53"/>
    </row>
    <row r="872" spans="1:1" ht="13.2">
      <c r="A872" s="53"/>
    </row>
    <row r="873" spans="1:1" ht="13.2">
      <c r="A873" s="53"/>
    </row>
    <row r="874" spans="1:1" ht="13.2">
      <c r="A874" s="53"/>
    </row>
    <row r="875" spans="1:1" ht="13.2">
      <c r="A875" s="53"/>
    </row>
    <row r="876" spans="1:1" ht="13.2">
      <c r="A876" s="53"/>
    </row>
    <row r="877" spans="1:1" ht="13.2">
      <c r="A877" s="53"/>
    </row>
    <row r="878" spans="1:1" ht="13.2">
      <c r="A878" s="53"/>
    </row>
    <row r="879" spans="1:1" ht="13.2">
      <c r="A879" s="53"/>
    </row>
    <row r="880" spans="1:1" ht="13.2">
      <c r="A880" s="53"/>
    </row>
    <row r="881" spans="1:1" ht="13.2">
      <c r="A881" s="53"/>
    </row>
    <row r="882" spans="1:1" ht="13.2">
      <c r="A882" s="53"/>
    </row>
    <row r="883" spans="1:1" ht="13.2">
      <c r="A883" s="53"/>
    </row>
    <row r="884" spans="1:1" ht="13.2">
      <c r="A884" s="53"/>
    </row>
    <row r="885" spans="1:1" ht="13.2">
      <c r="A885" s="53"/>
    </row>
    <row r="886" spans="1:1" ht="13.2">
      <c r="A886" s="53"/>
    </row>
    <row r="887" spans="1:1" ht="13.2">
      <c r="A887" s="53"/>
    </row>
    <row r="888" spans="1:1" ht="13.2">
      <c r="A888" s="53"/>
    </row>
    <row r="889" spans="1:1" ht="13.2">
      <c r="A889" s="53"/>
    </row>
    <row r="890" spans="1:1" ht="13.2">
      <c r="A890" s="53"/>
    </row>
    <row r="891" spans="1:1" ht="13.2">
      <c r="A891" s="53"/>
    </row>
    <row r="892" spans="1:1" ht="13.2">
      <c r="A892" s="53"/>
    </row>
    <row r="893" spans="1:1" ht="13.2">
      <c r="A893" s="53"/>
    </row>
    <row r="894" spans="1:1" ht="13.2">
      <c r="A894" s="53"/>
    </row>
    <row r="895" spans="1:1" ht="13.2">
      <c r="A895" s="53"/>
    </row>
    <row r="896" spans="1:1" ht="13.2">
      <c r="A896" s="53"/>
    </row>
    <row r="897" spans="1:1" ht="13.2">
      <c r="A897" s="53"/>
    </row>
    <row r="898" spans="1:1" ht="13.2">
      <c r="A898" s="53"/>
    </row>
    <row r="899" spans="1:1" ht="13.2">
      <c r="A899" s="53"/>
    </row>
    <row r="900" spans="1:1" ht="13.2">
      <c r="A900" s="53"/>
    </row>
    <row r="901" spans="1:1" ht="13.2">
      <c r="A901" s="53"/>
    </row>
    <row r="902" spans="1:1" ht="13.2">
      <c r="A902" s="53"/>
    </row>
    <row r="903" spans="1:1" ht="13.2">
      <c r="A903" s="53"/>
    </row>
    <row r="904" spans="1:1" ht="13.2">
      <c r="A904" s="53"/>
    </row>
    <row r="905" spans="1:1" ht="13.2">
      <c r="A905" s="53"/>
    </row>
    <row r="906" spans="1:1" ht="13.2">
      <c r="A906" s="53"/>
    </row>
    <row r="907" spans="1:1" ht="13.2">
      <c r="A907" s="53"/>
    </row>
    <row r="908" spans="1:1" ht="13.2">
      <c r="A908" s="53"/>
    </row>
    <row r="909" spans="1:1" ht="13.2">
      <c r="A909" s="53"/>
    </row>
    <row r="910" spans="1:1" ht="13.2">
      <c r="A910" s="53"/>
    </row>
    <row r="911" spans="1:1" ht="13.2">
      <c r="A911" s="53"/>
    </row>
    <row r="912" spans="1:1" ht="13.2">
      <c r="A912" s="53"/>
    </row>
    <row r="913" spans="1:1" ht="13.2">
      <c r="A913" s="53"/>
    </row>
    <row r="914" spans="1:1" ht="13.2">
      <c r="A914" s="53"/>
    </row>
    <row r="915" spans="1:1" ht="13.2">
      <c r="A915" s="53"/>
    </row>
    <row r="916" spans="1:1" ht="13.2">
      <c r="A916" s="53"/>
    </row>
    <row r="917" spans="1:1" ht="13.2">
      <c r="A917" s="53"/>
    </row>
    <row r="918" spans="1:1" ht="13.2">
      <c r="A918" s="53"/>
    </row>
    <row r="919" spans="1:1" ht="13.2">
      <c r="A919" s="53"/>
    </row>
    <row r="920" spans="1:1" ht="13.2">
      <c r="A920" s="53"/>
    </row>
    <row r="921" spans="1:1" ht="13.2">
      <c r="A921" s="53"/>
    </row>
    <row r="922" spans="1:1" ht="13.2">
      <c r="A922" s="53"/>
    </row>
    <row r="923" spans="1:1" ht="13.2">
      <c r="A923" s="53"/>
    </row>
    <row r="924" spans="1:1" ht="13.2">
      <c r="A924" s="53"/>
    </row>
    <row r="925" spans="1:1" ht="13.2">
      <c r="A925" s="53"/>
    </row>
    <row r="926" spans="1:1" ht="13.2">
      <c r="A926" s="53"/>
    </row>
    <row r="927" spans="1:1" ht="13.2">
      <c r="A927" s="53"/>
    </row>
    <row r="928" spans="1:1" ht="13.2">
      <c r="A928" s="53"/>
    </row>
    <row r="929" spans="1:1" ht="13.2">
      <c r="A929" s="53"/>
    </row>
    <row r="930" spans="1:1" ht="13.2">
      <c r="A930" s="53"/>
    </row>
    <row r="931" spans="1:1" ht="13.2">
      <c r="A931" s="53"/>
    </row>
    <row r="932" spans="1:1" ht="13.2">
      <c r="A932" s="53"/>
    </row>
    <row r="933" spans="1:1" ht="13.2">
      <c r="A933" s="53"/>
    </row>
    <row r="934" spans="1:1" ht="13.2">
      <c r="A934" s="53"/>
    </row>
    <row r="935" spans="1:1" ht="13.2">
      <c r="A935" s="53"/>
    </row>
    <row r="936" spans="1:1" ht="13.2">
      <c r="A936" s="53"/>
    </row>
    <row r="937" spans="1:1" ht="13.2">
      <c r="A937" s="53"/>
    </row>
    <row r="938" spans="1:1" ht="13.2">
      <c r="A938" s="53"/>
    </row>
    <row r="939" spans="1:1" ht="13.2">
      <c r="A939" s="53"/>
    </row>
    <row r="940" spans="1:1" ht="13.2">
      <c r="A940" s="53"/>
    </row>
    <row r="941" spans="1:1" ht="13.2">
      <c r="A941" s="53"/>
    </row>
    <row r="942" spans="1:1" ht="13.2">
      <c r="A942" s="53"/>
    </row>
    <row r="943" spans="1:1" ht="13.2">
      <c r="A943" s="53"/>
    </row>
    <row r="944" spans="1:1" ht="13.2">
      <c r="A944" s="53"/>
    </row>
    <row r="945" spans="1:1" ht="13.2">
      <c r="A945" s="53"/>
    </row>
    <row r="946" spans="1:1" ht="13.2">
      <c r="A946" s="53"/>
    </row>
    <row r="947" spans="1:1" ht="13.2">
      <c r="A947" s="53"/>
    </row>
    <row r="948" spans="1:1" ht="13.2">
      <c r="A948" s="53"/>
    </row>
    <row r="949" spans="1:1" ht="13.2">
      <c r="A949" s="53"/>
    </row>
    <row r="950" spans="1:1" ht="13.2">
      <c r="A950" s="53"/>
    </row>
    <row r="951" spans="1:1" ht="13.2">
      <c r="A951" s="53"/>
    </row>
    <row r="952" spans="1:1" ht="13.2">
      <c r="A952" s="53"/>
    </row>
    <row r="953" spans="1:1" ht="13.2">
      <c r="A953" s="53"/>
    </row>
    <row r="954" spans="1:1" ht="13.2">
      <c r="A954" s="53"/>
    </row>
    <row r="955" spans="1:1" ht="13.2">
      <c r="A955" s="53"/>
    </row>
    <row r="956" spans="1:1" ht="13.2">
      <c r="A956" s="53"/>
    </row>
    <row r="957" spans="1:1" ht="13.2">
      <c r="A957" s="53"/>
    </row>
    <row r="958" spans="1:1" ht="13.2">
      <c r="A958" s="53"/>
    </row>
    <row r="959" spans="1:1" ht="13.2">
      <c r="A959" s="53"/>
    </row>
    <row r="960" spans="1:1" ht="13.2">
      <c r="A960" s="53"/>
    </row>
    <row r="961" spans="1:67" ht="13.2">
      <c r="A961" s="53"/>
    </row>
    <row r="962" spans="1:67" ht="13.2">
      <c r="A962" s="53"/>
    </row>
    <row r="963" spans="1:67" ht="13.2">
      <c r="A963" s="53"/>
    </row>
    <row r="964" spans="1:67" ht="13.2">
      <c r="A964" s="53"/>
    </row>
    <row r="965" spans="1:67" ht="13.2">
      <c r="A965" s="53"/>
    </row>
    <row r="966" spans="1:67" ht="13.2">
      <c r="A966" s="53"/>
    </row>
    <row r="967" spans="1:67" ht="13.2">
      <c r="A967" s="53"/>
    </row>
    <row r="968" spans="1:67" ht="13.2">
      <c r="A968" s="53"/>
    </row>
    <row r="969" spans="1:67" ht="13.2">
      <c r="A969" s="53"/>
    </row>
    <row r="970" spans="1:67" ht="13.2">
      <c r="A970" s="53"/>
    </row>
    <row r="971" spans="1:67" ht="13.2">
      <c r="A971" s="53"/>
    </row>
    <row r="972" spans="1:67" ht="13.2">
      <c r="A972" s="53"/>
    </row>
    <row r="973" spans="1:67" ht="13.2">
      <c r="A973" s="5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 spans="1:67" ht="13.2">
      <c r="A974" s="53"/>
    </row>
    <row r="975" spans="1:67" ht="13.2">
      <c r="A975" s="53"/>
    </row>
    <row r="976" spans="1:67" ht="13.2">
      <c r="A976" s="53"/>
    </row>
    <row r="977" spans="1:1" ht="13.2">
      <c r="A977" s="53"/>
    </row>
    <row r="978" spans="1:1" ht="13.2">
      <c r="A978" s="53"/>
    </row>
    <row r="979" spans="1:1" ht="13.2">
      <c r="A979" s="53"/>
    </row>
    <row r="980" spans="1:1" ht="13.2">
      <c r="A980" s="53"/>
    </row>
    <row r="981" spans="1:1" ht="13.2">
      <c r="A981" s="53"/>
    </row>
    <row r="982" spans="1:1" ht="13.2">
      <c r="A982" s="53"/>
    </row>
    <row r="983" spans="1:1" ht="13.2">
      <c r="A983" s="53"/>
    </row>
    <row r="984" spans="1:1" ht="13.2">
      <c r="A984" s="53"/>
    </row>
    <row r="985" spans="1:1" ht="13.2">
      <c r="A985" s="53"/>
    </row>
    <row r="986" spans="1:1" ht="13.2">
      <c r="A986" s="53"/>
    </row>
    <row r="987" spans="1:1" ht="13.2">
      <c r="A987" s="53"/>
    </row>
    <row r="988" spans="1:1" ht="13.2">
      <c r="A988" s="53"/>
    </row>
    <row r="989" spans="1:1" ht="13.2">
      <c r="A989" s="53"/>
    </row>
    <row r="990" spans="1:1" ht="13.2">
      <c r="A990" s="53"/>
    </row>
    <row r="991" spans="1:1" ht="13.2">
      <c r="A991" s="53"/>
    </row>
    <row r="992" spans="1:1" ht="13.2">
      <c r="A992" s="53"/>
    </row>
    <row r="993" spans="1:7" ht="13.2">
      <c r="A993" s="53"/>
    </row>
    <row r="994" spans="1:7" ht="13.2">
      <c r="A994" s="53"/>
    </row>
    <row r="995" spans="1:7" ht="13.2">
      <c r="A995" s="53"/>
    </row>
    <row r="996" spans="1:7" ht="13.2">
      <c r="A996" s="70"/>
      <c r="B996" s="4"/>
      <c r="C996" s="4"/>
      <c r="D996" s="4"/>
      <c r="E996" s="4"/>
      <c r="F996" s="4"/>
      <c r="G996" s="4"/>
    </row>
  </sheetData>
  <mergeCells count="24">
    <mergeCell ref="BK6:BO6"/>
    <mergeCell ref="C6:C7"/>
    <mergeCell ref="A3:G3"/>
    <mergeCell ref="A6:A7"/>
    <mergeCell ref="B6:B7"/>
    <mergeCell ref="F6:F7"/>
    <mergeCell ref="E6:E7"/>
    <mergeCell ref="D6:D7"/>
    <mergeCell ref="G6:G7"/>
    <mergeCell ref="AL6:AP6"/>
    <mergeCell ref="AQ6:AU6"/>
    <mergeCell ref="AV6:AZ6"/>
    <mergeCell ref="BA6:BE6"/>
    <mergeCell ref="AG6:AK6"/>
    <mergeCell ref="AB6:AF6"/>
    <mergeCell ref="R6:V6"/>
    <mergeCell ref="C20:G20"/>
    <mergeCell ref="C15:G15"/>
    <mergeCell ref="C27:G27"/>
    <mergeCell ref="C8:G8"/>
    <mergeCell ref="BF6:BJ6"/>
    <mergeCell ref="H6:L6"/>
    <mergeCell ref="M6:Q6"/>
    <mergeCell ref="W6:AA6"/>
  </mergeCells>
  <conditionalFormatting sqref="G9:G14 G16:G19 G21:G26 G28:G31">
    <cfRule type="colorScale" priority="1">
      <colorScale>
        <cfvo type="percent" val="0"/>
        <cfvo type="percent" val="100"/>
        <color rgb="FFFFFFFF"/>
        <color rgb="FF5CBCD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 w % Complete</vt:lpstr>
      <vt:lpstr>Basic Gantt Chart</vt:lpstr>
      <vt:lpstr>Manual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Morton</dc:creator>
  <cp:lastModifiedBy>ZLaP</cp:lastModifiedBy>
  <cp:lastPrinted>2020-04-14T18:28:40Z</cp:lastPrinted>
  <dcterms:created xsi:type="dcterms:W3CDTF">2018-06-20T16:10:08Z</dcterms:created>
  <dcterms:modified xsi:type="dcterms:W3CDTF">2020-04-14T22:28:10Z</dcterms:modified>
</cp:coreProperties>
</file>